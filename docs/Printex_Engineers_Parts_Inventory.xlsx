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Inventory" sheetId="1" state="visible" r:id="rId3"/>
    <sheet name="Summary by Column" sheetId="2" state="visible" r:id="rId4"/>
    <sheet name="Struck-Out Entries" sheetId="3" state="visible" r:id="rId5"/>
    <sheet name="Transcription Notes" sheetId="4" state="visible" r:id="rId6"/>
  </sheets>
  <definedNames>
    <definedName function="false" hidden="true" localSheetId="0" name="_xlnm._FilterDatabase" vbProcedure="false">'Parts Inventory'!$A$5:$L$139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<sst xmlns="http://schemas.openxmlformats.org/spreadsheetml/2006/main" count="740" uniqueCount="261">
  <si>
    <t xml:space="preserve">PRINTEX ENGINEERS</t>
  </si>
  <si>
    <t xml:space="preserve">Parts Inventory &amp; Price List</t>
  </si>
  <si>
    <t xml:space="preserve">Transcribed from the handwritten parts register (Columns A-F). Buying prices in USD; selling prices in KES.</t>
  </si>
  <si>
    <t xml:space="preserve">Item No.</t>
  </si>
  <si>
    <t xml:space="preserve">Register Column</t>
  </si>
  <si>
    <t xml:space="preserve">Category</t>
  </si>
  <si>
    <t xml:space="preserve">Part Description</t>
  </si>
  <si>
    <t xml:space="preserve">Part No.</t>
  </si>
  <si>
    <t xml:space="preserve">Qty</t>
  </si>
  <si>
    <t xml:space="preserve">Unit</t>
  </si>
  <si>
    <t xml:space="preserve">Buying Price (USD)</t>
  </si>
  <si>
    <t xml:space="preserve">Selling Price (KES)</t>
  </si>
  <si>
    <t xml:space="preserve">Stock Value (USD)</t>
  </si>
  <si>
    <t xml:space="preserve">Potential Sales (KES)</t>
  </si>
  <si>
    <t xml:space="preserve">Notes</t>
  </si>
  <si>
    <t xml:space="preserve">A</t>
  </si>
  <si>
    <t xml:space="preserve">Valves, Cylinders &amp; Pistons</t>
  </si>
  <si>
    <t xml:space="preserve">Control Valve</t>
  </si>
  <si>
    <t xml:space="preserve">M2.184.1111/05</t>
  </si>
  <si>
    <t xml:space="preserve">Pcs</t>
  </si>
  <si>
    <t xml:space="preserve">M2.184.1121/05</t>
  </si>
  <si>
    <t xml:space="preserve">M2.184.1131</t>
  </si>
  <si>
    <t xml:space="preserve">Buying price not recorded</t>
  </si>
  <si>
    <t xml:space="preserve">Vibrator Valve</t>
  </si>
  <si>
    <t xml:space="preserve">G2.184.0060</t>
  </si>
  <si>
    <t xml:space="preserve">G2.184.0040</t>
  </si>
  <si>
    <t xml:space="preserve">61.184.1133</t>
  </si>
  <si>
    <t xml:space="preserve">61.184.1131</t>
  </si>
  <si>
    <t xml:space="preserve">L2.335.051</t>
  </si>
  <si>
    <t xml:space="preserve">M2.184.1071</t>
  </si>
  <si>
    <t xml:space="preserve">61.184.1171</t>
  </si>
  <si>
    <t xml:space="preserve">Solenoid Valve</t>
  </si>
  <si>
    <t xml:space="preserve">61.184.1311</t>
  </si>
  <si>
    <t xml:space="preserve">98.184.1051</t>
  </si>
  <si>
    <t xml:space="preserve">Part no. written over a crossed-out entry</t>
  </si>
  <si>
    <t xml:space="preserve">Pneumatic Valve</t>
  </si>
  <si>
    <t xml:space="preserve">L2.334.002</t>
  </si>
  <si>
    <t xml:space="preserve">No prices recorded</t>
  </si>
  <si>
    <t xml:space="preserve">87.334.010</t>
  </si>
  <si>
    <t xml:space="preserve">00.580.3909</t>
  </si>
  <si>
    <t xml:space="preserve">00.580.3930</t>
  </si>
  <si>
    <t xml:space="preserve">Selling price not recorded</t>
  </si>
  <si>
    <t xml:space="preserve">Pneumatic Cylinder</t>
  </si>
  <si>
    <t xml:space="preserve">F4.334.044</t>
  </si>
  <si>
    <t xml:space="preserve">Pc</t>
  </si>
  <si>
    <t xml:space="preserve">61.184.1191</t>
  </si>
  <si>
    <t xml:space="preserve">Cylinder Valve</t>
  </si>
  <si>
    <t xml:space="preserve">F4.334.036/03</t>
  </si>
  <si>
    <t xml:space="preserve">G4.334.004/03</t>
  </si>
  <si>
    <t xml:space="preserve">Piston</t>
  </si>
  <si>
    <t xml:space="preserve">L2.007.531</t>
  </si>
  <si>
    <t xml:space="preserve">87.334.001/02</t>
  </si>
  <si>
    <t xml:space="preserve">00.580.4275</t>
  </si>
  <si>
    <t xml:space="preserve">F7.335.002</t>
  </si>
  <si>
    <t xml:space="preserve">00.580.4300/02</t>
  </si>
  <si>
    <t xml:space="preserve">87.334.001</t>
  </si>
  <si>
    <t xml:space="preserve">Part no. not recorded</t>
  </si>
  <si>
    <t xml:space="preserve">B</t>
  </si>
  <si>
    <t xml:space="preserve">Bellows, Diaphragms &amp; Spindles</t>
  </si>
  <si>
    <t xml:space="preserve">SM52 Bellows</t>
  </si>
  <si>
    <t xml:space="preserve">SM74 Bellows</t>
  </si>
  <si>
    <t xml:space="preserve">CD74 Bellows</t>
  </si>
  <si>
    <t xml:space="preserve">CD/XL105 Bellows</t>
  </si>
  <si>
    <t xml:space="preserve">PM74 Bellows</t>
  </si>
  <si>
    <t xml:space="preserve">SM52 Autoplate Diaphragm</t>
  </si>
  <si>
    <t xml:space="preserve">SM/CD102 Autoplate Diaphragm</t>
  </si>
  <si>
    <t xml:space="preserve">Technotrans</t>
  </si>
  <si>
    <t xml:space="preserve">DS.196.2015</t>
  </si>
  <si>
    <t xml:space="preserve">Friction Wheels</t>
  </si>
  <si>
    <t xml:space="preserve">F4.614.5565</t>
  </si>
  <si>
    <t xml:space="preserve">SM74 Autoplate Diaphragm</t>
  </si>
  <si>
    <t xml:space="preserve">Diaphragm Clips CPI</t>
  </si>
  <si>
    <t xml:space="preserve">Suffix reads 'CPI' - verify</t>
  </si>
  <si>
    <t xml:space="preserve">Adjusting Spindle</t>
  </si>
  <si>
    <t xml:space="preserve">L2.030.412F</t>
  </si>
  <si>
    <t xml:space="preserve">Friction Wheels CPH</t>
  </si>
  <si>
    <t xml:space="preserve">Suffix reads 'CPh' - verify</t>
  </si>
  <si>
    <t xml:space="preserve">Adjusting Spindle SM52</t>
  </si>
  <si>
    <t xml:space="preserve">Adjusting Spindle SM74</t>
  </si>
  <si>
    <t xml:space="preserve">Diaphragm Clips</t>
  </si>
  <si>
    <t xml:space="preserve">Plate Clamp Airbag Tube</t>
  </si>
  <si>
    <t xml:space="preserve">Roll</t>
  </si>
  <si>
    <t xml:space="preserve">Buying price is USD 6 per metre; stock held as a roll</t>
  </si>
  <si>
    <t xml:space="preserve">C</t>
  </si>
  <si>
    <t xml:space="preserve">Suckers, Cups &amp; Gears</t>
  </si>
  <si>
    <t xml:space="preserve">Rubber Sucker 38 x 13 x 0.8 mm</t>
  </si>
  <si>
    <t xml:space="preserve">Rubber Sucker 35 x 13 x 0.8 mm</t>
  </si>
  <si>
    <t xml:space="preserve">Rubber Sucker 38 x 13 x 1.3 mm</t>
  </si>
  <si>
    <t xml:space="preserve">Rubber Sucker 32 x 13 x 0.8 mm</t>
  </si>
  <si>
    <t xml:space="preserve">Rubber Sucker 30 x 13 x 0.8 mm</t>
  </si>
  <si>
    <t xml:space="preserve">Rubber Sucker 35 x 13 x 1 mm</t>
  </si>
  <si>
    <t xml:space="preserve">Rubber Sucker 30 x 13 x 1 mm</t>
  </si>
  <si>
    <t xml:space="preserve">Rubber Sucker 43 x 13 x 1.0 mm</t>
  </si>
  <si>
    <t xml:space="preserve">Rubber Sucker 32 x 13 x 1.2 mm</t>
  </si>
  <si>
    <t xml:space="preserve">Buying price revised from USD 0.2 to USD 3.5</t>
  </si>
  <si>
    <t xml:space="preserve">MBO Rubber Sucker 23 x 3 x 1 mm</t>
  </si>
  <si>
    <t xml:space="preserve">MBO Rubber Sucker 83 x 3 x 0.8 mm</t>
  </si>
  <si>
    <t xml:space="preserve">Cap Sucker Muller Martini 21 x 6 x 13 mm</t>
  </si>
  <si>
    <t xml:space="preserve">Cap Sucker Muller Martini 21 x 6 x 4 mm</t>
  </si>
  <si>
    <t xml:space="preserve">Block Cups 12 x 6 x 8 mm</t>
  </si>
  <si>
    <t xml:space="preserve">Feeder Sucker</t>
  </si>
  <si>
    <t xml:space="preserve">42.016.072(B)</t>
  </si>
  <si>
    <t xml:space="preserve">Cup Suckers Black</t>
  </si>
  <si>
    <t xml:space="preserve">Worm Gear</t>
  </si>
  <si>
    <t xml:space="preserve">42.006.029</t>
  </si>
  <si>
    <t xml:space="preserve">Bearing for CD74</t>
  </si>
  <si>
    <t xml:space="preserve">Gears for CD74</t>
  </si>
  <si>
    <t xml:space="preserve">Sets</t>
  </si>
  <si>
    <t xml:space="preserve">Rubber Sucker</t>
  </si>
  <si>
    <t xml:space="preserve">66.028.405</t>
  </si>
  <si>
    <t xml:space="preserve">Feeder Sucker Rod</t>
  </si>
  <si>
    <t xml:space="preserve">Selling price below buying price - verify</t>
  </si>
  <si>
    <t xml:space="preserve">Gear Worm</t>
  </si>
  <si>
    <t xml:space="preserve">M2.006.001</t>
  </si>
  <si>
    <t xml:space="preserve">Rubber Sucker 45 x 13 x 0.8 mm</t>
  </si>
  <si>
    <t xml:space="preserve">Buying price may be USD 0.10 - verify</t>
  </si>
  <si>
    <t xml:space="preserve">Rubber Sucker 45 x 13 x 1 mm</t>
  </si>
  <si>
    <t xml:space="preserve">Cup Suckers White</t>
  </si>
  <si>
    <t xml:space="preserve">D</t>
  </si>
  <si>
    <t xml:space="preserve">Cam Followers &amp; Bearings</t>
  </si>
  <si>
    <t xml:space="preserve">Cam Follower</t>
  </si>
  <si>
    <t xml:space="preserve">F-53125.02</t>
  </si>
  <si>
    <t xml:space="preserve">Buying price revised from USD 24 to USD 55</t>
  </si>
  <si>
    <t xml:space="preserve">F-54293.1</t>
  </si>
  <si>
    <t xml:space="preserve">F-53272</t>
  </si>
  <si>
    <t xml:space="preserve">F-229817</t>
  </si>
  <si>
    <t xml:space="preserve">F-208089.02</t>
  </si>
  <si>
    <t xml:space="preserve">F-87592.03</t>
  </si>
  <si>
    <t xml:space="preserve">F-229818.01</t>
  </si>
  <si>
    <t xml:space="preserve">F-217813.04</t>
  </si>
  <si>
    <t xml:space="preserve">Cross-ref. 00.550.1471</t>
  </si>
  <si>
    <t xml:space="preserve">F-222190</t>
  </si>
  <si>
    <t xml:space="preserve">F-513801</t>
  </si>
  <si>
    <t xml:space="preserve">F-94474.01</t>
  </si>
  <si>
    <t xml:space="preserve">One Way Bearing</t>
  </si>
  <si>
    <t xml:space="preserve">HFL3030</t>
  </si>
  <si>
    <t xml:space="preserve">F-229025</t>
  </si>
  <si>
    <t xml:space="preserve">Cross-ref. F2.011.121; no prices recorded</t>
  </si>
  <si>
    <t xml:space="preserve">F-57439.02</t>
  </si>
  <si>
    <t xml:space="preserve">Bearing</t>
  </si>
  <si>
    <t xml:space="preserve">HK 1612-B</t>
  </si>
  <si>
    <t xml:space="preserve">HK 1012-AS1</t>
  </si>
  <si>
    <t xml:space="preserve">F-233282.01</t>
  </si>
  <si>
    <t xml:space="preserve">F-237858.01</t>
  </si>
  <si>
    <t xml:space="preserve">Quantity and prices not recorded</t>
  </si>
  <si>
    <t xml:space="preserve">E</t>
  </si>
  <si>
    <t xml:space="preserve">Grippers, Pins &amp; Blanket Hooks</t>
  </si>
  <si>
    <t xml:space="preserve">Gripper 76.5 x 13 x 3.5 mm</t>
  </si>
  <si>
    <t xml:space="preserve">S1127F-S</t>
  </si>
  <si>
    <t xml:space="preserve">Buying price corrected from USD 30 to USD 3</t>
  </si>
  <si>
    <t xml:space="preserve">Gripper 53 x 17 mm</t>
  </si>
  <si>
    <t xml:space="preserve">F3.023.010B</t>
  </si>
  <si>
    <t xml:space="preserve">Impression Gripper</t>
  </si>
  <si>
    <t xml:space="preserve">69.011.727</t>
  </si>
  <si>
    <t xml:space="preserve">Delivery Die Cutter Grippers</t>
  </si>
  <si>
    <t xml:space="preserve">Swing Arm Gripper MO</t>
  </si>
  <si>
    <t xml:space="preserve">Feed Gripper MO/SOR</t>
  </si>
  <si>
    <t xml:space="preserve">Gripper MO/GTO/SM74 53 mm</t>
  </si>
  <si>
    <t xml:space="preserve">Gripper Transfer</t>
  </si>
  <si>
    <t xml:space="preserve">C3.071.627</t>
  </si>
  <si>
    <t xml:space="preserve">Delivery Grippers Right</t>
  </si>
  <si>
    <t xml:space="preserve">Delivery Grippers Left</t>
  </si>
  <si>
    <t xml:space="preserve">Gripper Drum</t>
  </si>
  <si>
    <t xml:space="preserve">M2.581.727/6</t>
  </si>
  <si>
    <t xml:space="preserve">Grippers</t>
  </si>
  <si>
    <t xml:space="preserve">Gripper Tips</t>
  </si>
  <si>
    <t xml:space="preserve">Feed Gripper 45 mm</t>
  </si>
  <si>
    <t xml:space="preserve">Blanket Hooks</t>
  </si>
  <si>
    <t xml:space="preserve">41.006.234</t>
  </si>
  <si>
    <t xml:space="preserve">Blanket Hooks GTO/MO</t>
  </si>
  <si>
    <t xml:space="preserve">Grippers SM74/SM52/PM52</t>
  </si>
  <si>
    <t xml:space="preserve">Tapered Pin</t>
  </si>
  <si>
    <t xml:space="preserve">00.540.0081</t>
  </si>
  <si>
    <t xml:space="preserve">Middle digits unclear - verify</t>
  </si>
  <si>
    <t xml:space="preserve">Pins</t>
  </si>
  <si>
    <t xml:space="preserve">00.500.0085</t>
  </si>
  <si>
    <t xml:space="preserve">00.500.0067</t>
  </si>
  <si>
    <t xml:space="preserve">Guide Pin Ruler</t>
  </si>
  <si>
    <t xml:space="preserve">00.550.0542</t>
  </si>
  <si>
    <t xml:space="preserve">Coupling</t>
  </si>
  <si>
    <t xml:space="preserve">M2.015.867</t>
  </si>
  <si>
    <t xml:space="preserve">Adjustment Spindle</t>
  </si>
  <si>
    <t xml:space="preserve">G2.007.506</t>
  </si>
  <si>
    <t xml:space="preserve">Sponges Yellow</t>
  </si>
  <si>
    <t xml:space="preserve">Delivery Grippers</t>
  </si>
  <si>
    <t xml:space="preserve">S1404F</t>
  </si>
  <si>
    <t xml:space="preserve">Sponges Yellow (Original)</t>
  </si>
  <si>
    <t xml:space="preserve">Gripper with Rubber Pad</t>
  </si>
  <si>
    <t xml:space="preserve">14.823.001F</t>
  </si>
  <si>
    <t xml:space="preserve">F</t>
  </si>
  <si>
    <t xml:space="preserve">Springs, Screws &amp; Ink Dividers</t>
  </si>
  <si>
    <t xml:space="preserve">Grub Screws</t>
  </si>
  <si>
    <t xml:space="preserve">L2.030.421</t>
  </si>
  <si>
    <t xml:space="preserve">Locking Screws</t>
  </si>
  <si>
    <t xml:space="preserve">Tension Spring</t>
  </si>
  <si>
    <t xml:space="preserve">F2.028.132</t>
  </si>
  <si>
    <t xml:space="preserve">Compression Spring</t>
  </si>
  <si>
    <t xml:space="preserve">97.006.568</t>
  </si>
  <si>
    <t xml:space="preserve">SM74 Torsion Spring - 4 Coils</t>
  </si>
  <si>
    <t xml:space="preserve">Buying price revised</t>
  </si>
  <si>
    <t xml:space="preserve">SM74 Torsion Spring - 6 Coils</t>
  </si>
  <si>
    <t xml:space="preserve">SM74 Torsion Spring - 8 Coils</t>
  </si>
  <si>
    <t xml:space="preserve">Small Torsion Spring - 17 Coils</t>
  </si>
  <si>
    <t xml:space="preserve">SM74 Spring Rod</t>
  </si>
  <si>
    <t xml:space="preserve">M2.011.123</t>
  </si>
  <si>
    <t xml:space="preserve">SM74 Sucker Spring</t>
  </si>
  <si>
    <t xml:space="preserve">Spring</t>
  </si>
  <si>
    <t xml:space="preserve">82.005.511</t>
  </si>
  <si>
    <t xml:space="preserve">68.028.044</t>
  </si>
  <si>
    <t xml:space="preserve">SM52 Lifting Sucker Spring</t>
  </si>
  <si>
    <t xml:space="preserve">Compression Springs</t>
  </si>
  <si>
    <t xml:space="preserve">66.028.053</t>
  </si>
  <si>
    <t xml:space="preserve">Thick Spring CD/SM102/MO/S74F</t>
  </si>
  <si>
    <t xml:space="preserve">CD102 Ink Divider</t>
  </si>
  <si>
    <t xml:space="preserve">CD74 Ink Divider</t>
  </si>
  <si>
    <t xml:space="preserve">SM74 Ink Divider</t>
  </si>
  <si>
    <t xml:space="preserve">SM52 Ink Divider</t>
  </si>
  <si>
    <t xml:space="preserve">TOTAL</t>
  </si>
  <si>
    <t xml:space="preserve">Blank price cells are items where no price was recorded in the handwritten register. Totals therefore cover priced lines only. See the 'Transcription Notes' tab.</t>
  </si>
  <si>
    <t xml:space="preserve">Summary by Register Column</t>
  </si>
  <si>
    <t xml:space="preserve">All figures calculated live from the 'Parts Inventory' tab.</t>
  </si>
  <si>
    <t xml:space="preserve">Column</t>
  </si>
  <si>
    <t xml:space="preserve">Line Items</t>
  </si>
  <si>
    <t xml:space="preserve">Total Qty</t>
  </si>
  <si>
    <t xml:space="preserve">Entries Struck Through in the Register</t>
  </si>
  <si>
    <t xml:space="preserve">Kept for audit reference only. These lines are NOT counted as stock.</t>
  </si>
  <si>
    <t xml:space="preserve">F-229817.01</t>
  </si>
  <si>
    <t xml:space="preserve">Struck through in register</t>
  </si>
  <si>
    <t xml:space="preserve">Delivery Gripper</t>
  </si>
  <si>
    <t xml:space="preserve">Struck through in register (duplicate of S1404F line)</t>
  </si>
  <si>
    <t xml:space="preserve">Transcription Notes &amp; Assumptions</t>
  </si>
  <si>
    <t xml:space="preserve">Source</t>
  </si>
  <si>
    <t xml:space="preserve">Six photographs of the handwritten Printex Engineers parts register, labelled Column A through Column F.</t>
  </si>
  <si>
    <t xml:space="preserve">Currency</t>
  </si>
  <si>
    <t xml:space="preserve">Buying prices were written with a $ sign and are recorded as USD. Selling prices were written without a symbol in the thousands (e.g. 12,400.00) and are recorded as KES. Confirm before publishing a price list.</t>
  </si>
  <si>
    <t xml:space="preserve">Blank prices</t>
  </si>
  <si>
    <t xml:space="preserve">Several lines in the register have no buying price, no selling price, or neither. These cells are left blank rather than filled with zero, so totals reflect priced lines only.</t>
  </si>
  <si>
    <t xml:space="preserve">Struck-out lines</t>
  </si>
  <si>
    <t xml:space="preserve">Two lines were crossed out in the register. They are held on the 'Struck-Out Entries' tab and excluded from all totals.</t>
  </si>
  <si>
    <t xml:space="preserve">Price corrections</t>
  </si>
  <si>
    <t xml:space="preserve">Where a price was overwritten in the register, the later value is used and the change is recorded in the Notes column.</t>
  </si>
  <si>
    <t xml:space="preserve">Items to verify</t>
  </si>
  <si>
    <t xml:space="preserve">Handwriting was unclear on a small number of entries. Each is flagged in the Notes column of the inventory tab. The main ones are listed below.</t>
  </si>
  <si>
    <t xml:space="preserve">Tapered Pin 00.540.0081 (Col. E)</t>
  </si>
  <si>
    <t xml:space="preserve">Middle three digits are ambiguous - could read 00.500.0081.</t>
  </si>
  <si>
    <t xml:space="preserve">Diaphragm Clips CPI (Col. B)</t>
  </si>
  <si>
    <t xml:space="preserve">Trailing letters read as 'CPI'.</t>
  </si>
  <si>
    <t xml:space="preserve">Friction Wheels CPH (Col. B)</t>
  </si>
  <si>
    <t xml:space="preserve">Trailing letters read as 'CPh'.</t>
  </si>
  <si>
    <t xml:space="preserve">Worm Gear 42.006.029 (Col. C)</t>
  </si>
  <si>
    <t xml:space="preserve">Description read as 'Worm Gear' by comparison with the 'Gear Worm M2.006.001' line at the same buying price.</t>
  </si>
  <si>
    <t xml:space="preserve">Feeder Sucker Rod (Col. C)</t>
  </si>
  <si>
    <t xml:space="preserve">Buying price USD 10 exceeds the KES 100 selling price as written.</t>
  </si>
  <si>
    <t xml:space="preserve">Rubber Sucker 45 x 13 (Col. C)</t>
  </si>
  <si>
    <t xml:space="preserve">Buying price written as $10; all comparable suckers are priced at $0.10-$0.30, so this may be $0.10.</t>
  </si>
  <si>
    <t xml:space="preserve">Cam Follower F-237858.01 (Col. D)</t>
  </si>
  <si>
    <t xml:space="preserve">Quantity and both prices are blank in the register.</t>
  </si>
  <si>
    <t xml:space="preserve">Plate Clamp Airbag Tube (Col. B)</t>
  </si>
  <si>
    <t xml:space="preserve">Held as a roll, not a piece count. Buying price is per metre.</t>
  </si>
  <si>
    <t xml:space="preserve">Cross-references</t>
  </si>
  <si>
    <t xml:space="preserve">Two margin notes in Column D have been carried into the Notes column: 00.550.1471 against F-217813.04, and F2.011.121 against F-229025.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</si>
</sst>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trike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7" min="6" style="0" width="7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n">
        <v>1</v>
      </c>
      <c r="B6" s="5" t="s">
        <v>15</v>
      </c>
      <c r="C6" s="6" t="s">
        <v>16</v>
      </c>
      <c r="D6" s="6" t="s">
        <v>17</v>
      </c>
      <c r="E6" s="6" t="s">
        <v>18</v>
      </c>
      <c r="F6" s="5" t="n">
        <v>9</v>
      </c>
      <c r="G6" s="5" t="s">
        <v>19</v>
      </c>
      <c r="H6" s="7" t="n">
        <v>30</v>
      </c>
      <c r="I6" s="8" t="n">
        <v>12400</v>
      </c>
      <c r="J6" s="7" t="n">
        <f aca="false">IF(AND(ISNUMBER(F6),ISNUMBER(H6)),F6*H6,"")</f>
        <v>270</v>
      </c>
      <c r="K6" s="8" t="n">
        <f aca="false">IF(AND(ISNUMBER(F6),ISNUMBER(I6)),F6*I6,"")</f>
        <v>111600</v>
      </c>
      <c r="L6" s="9"/>
    </row>
    <row r="7" customFormat="false" ht="15" hidden="false" customHeight="false" outlineLevel="0" collapsed="false">
      <c r="A7" s="10" t="n">
        <v>2</v>
      </c>
      <c r="B7" s="10" t="s">
        <v>15</v>
      </c>
      <c r="C7" s="11" t="s">
        <v>16</v>
      </c>
      <c r="D7" s="11" t="s">
        <v>17</v>
      </c>
      <c r="E7" s="11" t="s">
        <v>20</v>
      </c>
      <c r="F7" s="10" t="n">
        <v>9</v>
      </c>
      <c r="G7" s="10" t="s">
        <v>19</v>
      </c>
      <c r="H7" s="12" t="n">
        <v>30</v>
      </c>
      <c r="I7" s="13" t="n">
        <v>12400</v>
      </c>
      <c r="J7" s="12" t="n">
        <f aca="false">IF(AND(ISNUMBER(F7),ISNUMBER(H7)),F7*H7,"")</f>
        <v>270</v>
      </c>
      <c r="K7" s="13" t="n">
        <f aca="false">IF(AND(ISNUMBER(F7),ISNUMBER(I7)),F7*I7,"")</f>
        <v>111600</v>
      </c>
      <c r="L7" s="14"/>
    </row>
    <row r="8" customFormat="false" ht="15" hidden="false" customHeight="false" outlineLevel="0" collapsed="false">
      <c r="A8" s="5" t="n">
        <v>3</v>
      </c>
      <c r="B8" s="5" t="s">
        <v>15</v>
      </c>
      <c r="C8" s="6" t="s">
        <v>16</v>
      </c>
      <c r="D8" s="6" t="s">
        <v>17</v>
      </c>
      <c r="E8" s="6" t="s">
        <v>21</v>
      </c>
      <c r="F8" s="5" t="n">
        <v>3</v>
      </c>
      <c r="G8" s="5" t="s">
        <v>19</v>
      </c>
      <c r="H8" s="7"/>
      <c r="I8" s="8" t="n">
        <v>16250</v>
      </c>
      <c r="J8" s="7" t="str">
        <f aca="false">IF(AND(ISNUMBER(F8),ISNUMBER(H8)),F8*H8,"")</f>
        <v/>
      </c>
      <c r="K8" s="8" t="n">
        <f aca="false">IF(AND(ISNUMBER(F8),ISNUMBER(I8)),F8*I8,"")</f>
        <v>48750</v>
      </c>
      <c r="L8" s="9" t="s">
        <v>22</v>
      </c>
    </row>
    <row r="9" customFormat="false" ht="15" hidden="false" customHeight="false" outlineLevel="0" collapsed="false">
      <c r="A9" s="10" t="n">
        <v>4</v>
      </c>
      <c r="B9" s="10" t="s">
        <v>15</v>
      </c>
      <c r="C9" s="11" t="s">
        <v>16</v>
      </c>
      <c r="D9" s="11" t="s">
        <v>23</v>
      </c>
      <c r="E9" s="11" t="s">
        <v>24</v>
      </c>
      <c r="F9" s="10" t="n">
        <v>10</v>
      </c>
      <c r="G9" s="10" t="s">
        <v>19</v>
      </c>
      <c r="H9" s="12" t="n">
        <v>35</v>
      </c>
      <c r="I9" s="13" t="n">
        <v>14800</v>
      </c>
      <c r="J9" s="12" t="n">
        <f aca="false">IF(AND(ISNUMBER(F9),ISNUMBER(H9)),F9*H9,"")</f>
        <v>350</v>
      </c>
      <c r="K9" s="13" t="n">
        <f aca="false">IF(AND(ISNUMBER(F9),ISNUMBER(I9)),F9*I9,"")</f>
        <v>148000</v>
      </c>
      <c r="L9" s="14"/>
    </row>
    <row r="10" customFormat="false" ht="15" hidden="false" customHeight="false" outlineLevel="0" collapsed="false">
      <c r="A10" s="5" t="n">
        <v>5</v>
      </c>
      <c r="B10" s="5" t="s">
        <v>15</v>
      </c>
      <c r="C10" s="6" t="s">
        <v>16</v>
      </c>
      <c r="D10" s="6" t="s">
        <v>23</v>
      </c>
      <c r="E10" s="6" t="s">
        <v>25</v>
      </c>
      <c r="F10" s="5" t="n">
        <v>6</v>
      </c>
      <c r="G10" s="5" t="s">
        <v>19</v>
      </c>
      <c r="H10" s="7" t="n">
        <v>34</v>
      </c>
      <c r="I10" s="8" t="n">
        <v>15200</v>
      </c>
      <c r="J10" s="7" t="n">
        <f aca="false">IF(AND(ISNUMBER(F10),ISNUMBER(H10)),F10*H10,"")</f>
        <v>204</v>
      </c>
      <c r="K10" s="8" t="n">
        <f aca="false">IF(AND(ISNUMBER(F10),ISNUMBER(I10)),F10*I10,"")</f>
        <v>91200</v>
      </c>
      <c r="L10" s="9"/>
    </row>
    <row r="11" customFormat="false" ht="15" hidden="false" customHeight="false" outlineLevel="0" collapsed="false">
      <c r="A11" s="10" t="n">
        <v>6</v>
      </c>
      <c r="B11" s="10" t="s">
        <v>15</v>
      </c>
      <c r="C11" s="11" t="s">
        <v>16</v>
      </c>
      <c r="D11" s="11" t="s">
        <v>23</v>
      </c>
      <c r="E11" s="11" t="s">
        <v>26</v>
      </c>
      <c r="F11" s="10" t="n">
        <v>6</v>
      </c>
      <c r="G11" s="10" t="s">
        <v>19</v>
      </c>
      <c r="H11" s="12" t="n">
        <v>35</v>
      </c>
      <c r="I11" s="13" t="n">
        <v>14800</v>
      </c>
      <c r="J11" s="12" t="n">
        <f aca="false">IF(AND(ISNUMBER(F11),ISNUMBER(H11)),F11*H11,"")</f>
        <v>210</v>
      </c>
      <c r="K11" s="13" t="n">
        <f aca="false">IF(AND(ISNUMBER(F11),ISNUMBER(I11)),F11*I11,"")</f>
        <v>88800</v>
      </c>
      <c r="L11" s="14"/>
    </row>
    <row r="12" customFormat="false" ht="15" hidden="false" customHeight="false" outlineLevel="0" collapsed="false">
      <c r="A12" s="5" t="n">
        <v>7</v>
      </c>
      <c r="B12" s="5" t="s">
        <v>15</v>
      </c>
      <c r="C12" s="6" t="s">
        <v>16</v>
      </c>
      <c r="D12" s="6" t="s">
        <v>23</v>
      </c>
      <c r="E12" s="6" t="s">
        <v>27</v>
      </c>
      <c r="F12" s="5" t="n">
        <v>3</v>
      </c>
      <c r="G12" s="5" t="s">
        <v>19</v>
      </c>
      <c r="H12" s="7" t="n">
        <v>35</v>
      </c>
      <c r="I12" s="8" t="n">
        <v>14800</v>
      </c>
      <c r="J12" s="7" t="n">
        <f aca="false">IF(AND(ISNUMBER(F12),ISNUMBER(H12)),F12*H12,"")</f>
        <v>105</v>
      </c>
      <c r="K12" s="8" t="n">
        <f aca="false">IF(AND(ISNUMBER(F12),ISNUMBER(I12)),F12*I12,"")</f>
        <v>44400</v>
      </c>
      <c r="L12" s="9"/>
    </row>
    <row r="13" customFormat="false" ht="15" hidden="false" customHeight="false" outlineLevel="0" collapsed="false">
      <c r="A13" s="10" t="n">
        <v>8</v>
      </c>
      <c r="B13" s="10" t="s">
        <v>15</v>
      </c>
      <c r="C13" s="11" t="s">
        <v>16</v>
      </c>
      <c r="D13" s="11" t="s">
        <v>23</v>
      </c>
      <c r="E13" s="11" t="s">
        <v>28</v>
      </c>
      <c r="F13" s="10" t="n">
        <v>2</v>
      </c>
      <c r="G13" s="10" t="s">
        <v>19</v>
      </c>
      <c r="H13" s="12" t="n">
        <v>35</v>
      </c>
      <c r="I13" s="13" t="n">
        <v>14800</v>
      </c>
      <c r="J13" s="12" t="n">
        <f aca="false">IF(AND(ISNUMBER(F13),ISNUMBER(H13)),F13*H13,"")</f>
        <v>70</v>
      </c>
      <c r="K13" s="13" t="n">
        <f aca="false">IF(AND(ISNUMBER(F13),ISNUMBER(I13)),F13*I13,"")</f>
        <v>29600</v>
      </c>
      <c r="L13" s="14"/>
    </row>
    <row r="14" customFormat="false" ht="15" hidden="false" customHeight="false" outlineLevel="0" collapsed="false">
      <c r="A14" s="5" t="n">
        <v>9</v>
      </c>
      <c r="B14" s="5" t="s">
        <v>15</v>
      </c>
      <c r="C14" s="6" t="s">
        <v>16</v>
      </c>
      <c r="D14" s="6" t="s">
        <v>23</v>
      </c>
      <c r="E14" s="6" t="s">
        <v>29</v>
      </c>
      <c r="F14" s="5" t="n">
        <v>3</v>
      </c>
      <c r="G14" s="5" t="s">
        <v>19</v>
      </c>
      <c r="H14" s="7" t="n">
        <v>35</v>
      </c>
      <c r="I14" s="8" t="n">
        <v>15200</v>
      </c>
      <c r="J14" s="7" t="n">
        <f aca="false">IF(AND(ISNUMBER(F14),ISNUMBER(H14)),F14*H14,"")</f>
        <v>105</v>
      </c>
      <c r="K14" s="8" t="n">
        <f aca="false">IF(AND(ISNUMBER(F14),ISNUMBER(I14)),F14*I14,"")</f>
        <v>45600</v>
      </c>
      <c r="L14" s="9"/>
    </row>
    <row r="15" customFormat="false" ht="15" hidden="false" customHeight="false" outlineLevel="0" collapsed="false">
      <c r="A15" s="10" t="n">
        <v>10</v>
      </c>
      <c r="B15" s="10" t="s">
        <v>15</v>
      </c>
      <c r="C15" s="11" t="s">
        <v>16</v>
      </c>
      <c r="D15" s="11" t="s">
        <v>23</v>
      </c>
      <c r="E15" s="11" t="s">
        <v>30</v>
      </c>
      <c r="F15" s="10" t="n">
        <v>3</v>
      </c>
      <c r="G15" s="10" t="s">
        <v>19</v>
      </c>
      <c r="H15" s="12" t="n">
        <v>35</v>
      </c>
      <c r="I15" s="13" t="n">
        <v>14800</v>
      </c>
      <c r="J15" s="12" t="n">
        <f aca="false">IF(AND(ISNUMBER(F15),ISNUMBER(H15)),F15*H15,"")</f>
        <v>105</v>
      </c>
      <c r="K15" s="13" t="n">
        <f aca="false">IF(AND(ISNUMBER(F15),ISNUMBER(I15)),F15*I15,"")</f>
        <v>44400</v>
      </c>
      <c r="L15" s="14"/>
    </row>
    <row r="16" customFormat="false" ht="15" hidden="false" customHeight="false" outlineLevel="0" collapsed="false">
      <c r="A16" s="5" t="n">
        <v>11</v>
      </c>
      <c r="B16" s="5" t="s">
        <v>15</v>
      </c>
      <c r="C16" s="6" t="s">
        <v>16</v>
      </c>
      <c r="D16" s="6" t="s">
        <v>31</v>
      </c>
      <c r="E16" s="6" t="s">
        <v>32</v>
      </c>
      <c r="F16" s="5" t="n">
        <v>13</v>
      </c>
      <c r="G16" s="5" t="s">
        <v>19</v>
      </c>
      <c r="H16" s="7" t="n">
        <v>28</v>
      </c>
      <c r="I16" s="8" t="n">
        <v>18130</v>
      </c>
      <c r="J16" s="7" t="n">
        <f aca="false">IF(AND(ISNUMBER(F16),ISNUMBER(H16)),F16*H16,"")</f>
        <v>364</v>
      </c>
      <c r="K16" s="8" t="n">
        <f aca="false">IF(AND(ISNUMBER(F16),ISNUMBER(I16)),F16*I16,"")</f>
        <v>235690</v>
      </c>
      <c r="L16" s="9"/>
    </row>
    <row r="17" customFormat="false" ht="15" hidden="false" customHeight="false" outlineLevel="0" collapsed="false">
      <c r="A17" s="10" t="n">
        <v>12</v>
      </c>
      <c r="B17" s="10" t="s">
        <v>15</v>
      </c>
      <c r="C17" s="11" t="s">
        <v>16</v>
      </c>
      <c r="D17" s="11" t="s">
        <v>31</v>
      </c>
      <c r="E17" s="11" t="s">
        <v>33</v>
      </c>
      <c r="F17" s="10" t="n">
        <v>14</v>
      </c>
      <c r="G17" s="10" t="s">
        <v>19</v>
      </c>
      <c r="H17" s="12" t="n">
        <v>28</v>
      </c>
      <c r="I17" s="13" t="n">
        <v>18620</v>
      </c>
      <c r="J17" s="12" t="n">
        <f aca="false">IF(AND(ISNUMBER(F17),ISNUMBER(H17)),F17*H17,"")</f>
        <v>392</v>
      </c>
      <c r="K17" s="13" t="n">
        <f aca="false">IF(AND(ISNUMBER(F17),ISNUMBER(I17)),F17*I17,"")</f>
        <v>260680</v>
      </c>
      <c r="L17" s="14" t="s">
        <v>34</v>
      </c>
    </row>
    <row r="18" customFormat="false" ht="15" hidden="false" customHeight="false" outlineLevel="0" collapsed="false">
      <c r="A18" s="5" t="n">
        <v>13</v>
      </c>
      <c r="B18" s="5" t="s">
        <v>15</v>
      </c>
      <c r="C18" s="6" t="s">
        <v>16</v>
      </c>
      <c r="D18" s="6" t="s">
        <v>35</v>
      </c>
      <c r="E18" s="6" t="s">
        <v>36</v>
      </c>
      <c r="F18" s="5" t="n">
        <v>2</v>
      </c>
      <c r="G18" s="5" t="s">
        <v>19</v>
      </c>
      <c r="H18" s="7"/>
      <c r="I18" s="8"/>
      <c r="J18" s="7" t="str">
        <f aca="false">IF(AND(ISNUMBER(F18),ISNUMBER(H18)),F18*H18,"")</f>
        <v/>
      </c>
      <c r="K18" s="8" t="str">
        <f aca="false">IF(AND(ISNUMBER(F18),ISNUMBER(I18)),F18*I18,"")</f>
        <v/>
      </c>
      <c r="L18" s="9" t="s">
        <v>37</v>
      </c>
    </row>
    <row r="19" customFormat="false" ht="15" hidden="false" customHeight="false" outlineLevel="0" collapsed="false">
      <c r="A19" s="10" t="n">
        <v>14</v>
      </c>
      <c r="B19" s="10" t="s">
        <v>15</v>
      </c>
      <c r="C19" s="11" t="s">
        <v>16</v>
      </c>
      <c r="D19" s="11" t="s">
        <v>35</v>
      </c>
      <c r="E19" s="11" t="s">
        <v>38</v>
      </c>
      <c r="F19" s="10" t="n">
        <v>3</v>
      </c>
      <c r="G19" s="10" t="s">
        <v>19</v>
      </c>
      <c r="H19" s="12" t="n">
        <v>18</v>
      </c>
      <c r="I19" s="13" t="n">
        <v>18500</v>
      </c>
      <c r="J19" s="12" t="n">
        <f aca="false">IF(AND(ISNUMBER(F19),ISNUMBER(H19)),F19*H19,"")</f>
        <v>54</v>
      </c>
      <c r="K19" s="13" t="n">
        <f aca="false">IF(AND(ISNUMBER(F19),ISNUMBER(I19)),F19*I19,"")</f>
        <v>55500</v>
      </c>
      <c r="L19" s="14"/>
    </row>
    <row r="20" customFormat="false" ht="15" hidden="false" customHeight="false" outlineLevel="0" collapsed="false">
      <c r="A20" s="5" t="n">
        <v>15</v>
      </c>
      <c r="B20" s="5" t="s">
        <v>15</v>
      </c>
      <c r="C20" s="6" t="s">
        <v>16</v>
      </c>
      <c r="D20" s="6" t="s">
        <v>35</v>
      </c>
      <c r="E20" s="6" t="s">
        <v>39</v>
      </c>
      <c r="F20" s="5" t="n">
        <v>11</v>
      </c>
      <c r="G20" s="5" t="s">
        <v>19</v>
      </c>
      <c r="H20" s="7" t="n">
        <v>25</v>
      </c>
      <c r="I20" s="8" t="n">
        <v>18250</v>
      </c>
      <c r="J20" s="7" t="n">
        <f aca="false">IF(AND(ISNUMBER(F20),ISNUMBER(H20)),F20*H20,"")</f>
        <v>275</v>
      </c>
      <c r="K20" s="8" t="n">
        <f aca="false">IF(AND(ISNUMBER(F20),ISNUMBER(I20)),F20*I20,"")</f>
        <v>200750</v>
      </c>
      <c r="L20" s="9"/>
    </row>
    <row r="21" customFormat="false" ht="15" hidden="false" customHeight="false" outlineLevel="0" collapsed="false">
      <c r="A21" s="10" t="n">
        <v>16</v>
      </c>
      <c r="B21" s="10" t="s">
        <v>15</v>
      </c>
      <c r="C21" s="11" t="s">
        <v>16</v>
      </c>
      <c r="D21" s="11" t="s">
        <v>35</v>
      </c>
      <c r="E21" s="11" t="s">
        <v>40</v>
      </c>
      <c r="F21" s="10" t="n">
        <v>2</v>
      </c>
      <c r="G21" s="10" t="s">
        <v>19</v>
      </c>
      <c r="H21" s="12" t="n">
        <v>18</v>
      </c>
      <c r="I21" s="13"/>
      <c r="J21" s="12" t="n">
        <f aca="false">IF(AND(ISNUMBER(F21),ISNUMBER(H21)),F21*H21,"")</f>
        <v>36</v>
      </c>
      <c r="K21" s="13" t="str">
        <f aca="false">IF(AND(ISNUMBER(F21),ISNUMBER(I21)),F21*I21,"")</f>
        <v/>
      </c>
      <c r="L21" s="14" t="s">
        <v>41</v>
      </c>
    </row>
    <row r="22" customFormat="false" ht="15" hidden="false" customHeight="false" outlineLevel="0" collapsed="false">
      <c r="A22" s="5" t="n">
        <v>17</v>
      </c>
      <c r="B22" s="5" t="s">
        <v>15</v>
      </c>
      <c r="C22" s="6" t="s">
        <v>16</v>
      </c>
      <c r="D22" s="6" t="s">
        <v>42</v>
      </c>
      <c r="E22" s="6" t="s">
        <v>43</v>
      </c>
      <c r="F22" s="5" t="n">
        <v>1</v>
      </c>
      <c r="G22" s="5" t="s">
        <v>44</v>
      </c>
      <c r="H22" s="7" t="n">
        <v>25</v>
      </c>
      <c r="I22" s="8" t="n">
        <v>18250</v>
      </c>
      <c r="J22" s="7" t="n">
        <f aca="false">IF(AND(ISNUMBER(F22),ISNUMBER(H22)),F22*H22,"")</f>
        <v>25</v>
      </c>
      <c r="K22" s="8" t="n">
        <f aca="false">IF(AND(ISNUMBER(F22),ISNUMBER(I22)),F22*I22,"")</f>
        <v>18250</v>
      </c>
      <c r="L22" s="9"/>
    </row>
    <row r="23" customFormat="false" ht="15" hidden="false" customHeight="false" outlineLevel="0" collapsed="false">
      <c r="A23" s="10" t="n">
        <v>18</v>
      </c>
      <c r="B23" s="10" t="s">
        <v>15</v>
      </c>
      <c r="C23" s="11" t="s">
        <v>16</v>
      </c>
      <c r="D23" s="11" t="s">
        <v>17</v>
      </c>
      <c r="E23" s="11" t="s">
        <v>45</v>
      </c>
      <c r="F23" s="10" t="n">
        <v>1</v>
      </c>
      <c r="G23" s="10" t="s">
        <v>44</v>
      </c>
      <c r="H23" s="12"/>
      <c r="I23" s="13"/>
      <c r="J23" s="12" t="str">
        <f aca="false">IF(AND(ISNUMBER(F23),ISNUMBER(H23)),F23*H23,"")</f>
        <v/>
      </c>
      <c r="K23" s="13" t="str">
        <f aca="false">IF(AND(ISNUMBER(F23),ISNUMBER(I23)),F23*I23,"")</f>
        <v/>
      </c>
      <c r="L23" s="14" t="s">
        <v>37</v>
      </c>
    </row>
    <row r="24" customFormat="false" ht="15" hidden="false" customHeight="false" outlineLevel="0" collapsed="false">
      <c r="A24" s="5" t="n">
        <v>19</v>
      </c>
      <c r="B24" s="5" t="s">
        <v>15</v>
      </c>
      <c r="C24" s="6" t="s">
        <v>16</v>
      </c>
      <c r="D24" s="6" t="s">
        <v>46</v>
      </c>
      <c r="E24" s="6" t="s">
        <v>47</v>
      </c>
      <c r="F24" s="5" t="n">
        <v>1</v>
      </c>
      <c r="G24" s="5" t="s">
        <v>44</v>
      </c>
      <c r="H24" s="7" t="n">
        <v>26</v>
      </c>
      <c r="I24" s="8" t="n">
        <v>14500</v>
      </c>
      <c r="J24" s="7" t="n">
        <f aca="false">IF(AND(ISNUMBER(F24),ISNUMBER(H24)),F24*H24,"")</f>
        <v>26</v>
      </c>
      <c r="K24" s="8" t="n">
        <f aca="false">IF(AND(ISNUMBER(F24),ISNUMBER(I24)),F24*I24,"")</f>
        <v>14500</v>
      </c>
      <c r="L24" s="9"/>
    </row>
    <row r="25" customFormat="false" ht="15" hidden="false" customHeight="false" outlineLevel="0" collapsed="false">
      <c r="A25" s="10" t="n">
        <v>20</v>
      </c>
      <c r="B25" s="10" t="s">
        <v>15</v>
      </c>
      <c r="C25" s="11" t="s">
        <v>16</v>
      </c>
      <c r="D25" s="11" t="s">
        <v>31</v>
      </c>
      <c r="E25" s="11" t="s">
        <v>48</v>
      </c>
      <c r="F25" s="10" t="n">
        <v>1</v>
      </c>
      <c r="G25" s="10" t="s">
        <v>44</v>
      </c>
      <c r="H25" s="12" t="n">
        <v>26</v>
      </c>
      <c r="I25" s="13" t="n">
        <v>14500</v>
      </c>
      <c r="J25" s="12" t="n">
        <f aca="false">IF(AND(ISNUMBER(F25),ISNUMBER(H25)),F25*H25,"")</f>
        <v>26</v>
      </c>
      <c r="K25" s="13" t="n">
        <f aca="false">IF(AND(ISNUMBER(F25),ISNUMBER(I25)),F25*I25,"")</f>
        <v>14500</v>
      </c>
      <c r="L25" s="14"/>
    </row>
    <row r="26" customFormat="false" ht="15" hidden="false" customHeight="false" outlineLevel="0" collapsed="false">
      <c r="A26" s="5" t="n">
        <v>21</v>
      </c>
      <c r="B26" s="5" t="s">
        <v>15</v>
      </c>
      <c r="C26" s="6" t="s">
        <v>16</v>
      </c>
      <c r="D26" s="6" t="s">
        <v>49</v>
      </c>
      <c r="E26" s="6" t="s">
        <v>50</v>
      </c>
      <c r="F26" s="5" t="n">
        <v>1</v>
      </c>
      <c r="G26" s="5" t="s">
        <v>44</v>
      </c>
      <c r="H26" s="7" t="n">
        <v>210</v>
      </c>
      <c r="I26" s="8" t="n">
        <v>65000</v>
      </c>
      <c r="J26" s="7" t="n">
        <f aca="false">IF(AND(ISNUMBER(F26),ISNUMBER(H26)),F26*H26,"")</f>
        <v>210</v>
      </c>
      <c r="K26" s="8" t="n">
        <f aca="false">IF(AND(ISNUMBER(F26),ISNUMBER(I26)),F26*I26,"")</f>
        <v>65000</v>
      </c>
      <c r="L26" s="9"/>
    </row>
    <row r="27" customFormat="false" ht="15" hidden="false" customHeight="false" outlineLevel="0" collapsed="false">
      <c r="A27" s="10" t="n">
        <v>22</v>
      </c>
      <c r="B27" s="10" t="s">
        <v>15</v>
      </c>
      <c r="C27" s="11" t="s">
        <v>16</v>
      </c>
      <c r="D27" s="11" t="s">
        <v>31</v>
      </c>
      <c r="E27" s="11" t="s">
        <v>51</v>
      </c>
      <c r="F27" s="10" t="n">
        <v>1</v>
      </c>
      <c r="G27" s="10" t="s">
        <v>44</v>
      </c>
      <c r="H27" s="12"/>
      <c r="I27" s="13"/>
      <c r="J27" s="12" t="str">
        <f aca="false">IF(AND(ISNUMBER(F27),ISNUMBER(H27)),F27*H27,"")</f>
        <v/>
      </c>
      <c r="K27" s="13" t="str">
        <f aca="false">IF(AND(ISNUMBER(F27),ISNUMBER(I27)),F27*I27,"")</f>
        <v/>
      </c>
      <c r="L27" s="14" t="s">
        <v>37</v>
      </c>
    </row>
    <row r="28" customFormat="false" ht="15" hidden="false" customHeight="false" outlineLevel="0" collapsed="false">
      <c r="A28" s="5" t="n">
        <v>23</v>
      </c>
      <c r="B28" s="5" t="s">
        <v>15</v>
      </c>
      <c r="C28" s="6" t="s">
        <v>16</v>
      </c>
      <c r="D28" s="6" t="s">
        <v>42</v>
      </c>
      <c r="E28" s="6" t="s">
        <v>52</v>
      </c>
      <c r="F28" s="5" t="n">
        <v>1</v>
      </c>
      <c r="G28" s="5" t="s">
        <v>44</v>
      </c>
      <c r="H28" s="7" t="n">
        <v>27</v>
      </c>
      <c r="I28" s="8"/>
      <c r="J28" s="7" t="n">
        <f aca="false">IF(AND(ISNUMBER(F28),ISNUMBER(H28)),F28*H28,"")</f>
        <v>27</v>
      </c>
      <c r="K28" s="8" t="str">
        <f aca="false">IF(AND(ISNUMBER(F28),ISNUMBER(I28)),F28*I28,"")</f>
        <v/>
      </c>
      <c r="L28" s="9" t="s">
        <v>41</v>
      </c>
    </row>
    <row r="29" customFormat="false" ht="15" hidden="false" customHeight="false" outlineLevel="0" collapsed="false">
      <c r="A29" s="10" t="n">
        <v>24</v>
      </c>
      <c r="B29" s="10" t="s">
        <v>15</v>
      </c>
      <c r="C29" s="11" t="s">
        <v>16</v>
      </c>
      <c r="D29" s="11" t="s">
        <v>31</v>
      </c>
      <c r="E29" s="11" t="s">
        <v>53</v>
      </c>
      <c r="F29" s="10" t="n">
        <v>1</v>
      </c>
      <c r="G29" s="10" t="s">
        <v>44</v>
      </c>
      <c r="H29" s="12" t="n">
        <v>26</v>
      </c>
      <c r="I29" s="13" t="n">
        <v>14500</v>
      </c>
      <c r="J29" s="12" t="n">
        <f aca="false">IF(AND(ISNUMBER(F29),ISNUMBER(H29)),F29*H29,"")</f>
        <v>26</v>
      </c>
      <c r="K29" s="13" t="n">
        <f aca="false">IF(AND(ISNUMBER(F29),ISNUMBER(I29)),F29*I29,"")</f>
        <v>14500</v>
      </c>
      <c r="L29" s="14"/>
    </row>
    <row r="30" customFormat="false" ht="15" hidden="false" customHeight="false" outlineLevel="0" collapsed="false">
      <c r="A30" s="5" t="n">
        <v>25</v>
      </c>
      <c r="B30" s="5" t="s">
        <v>15</v>
      </c>
      <c r="C30" s="6" t="s">
        <v>16</v>
      </c>
      <c r="D30" s="6" t="s">
        <v>31</v>
      </c>
      <c r="E30" s="6" t="s">
        <v>54</v>
      </c>
      <c r="F30" s="5" t="n">
        <v>2</v>
      </c>
      <c r="G30" s="5" t="s">
        <v>19</v>
      </c>
      <c r="H30" s="7" t="n">
        <v>14</v>
      </c>
      <c r="I30" s="8" t="n">
        <v>14500</v>
      </c>
      <c r="J30" s="7" t="n">
        <f aca="false">IF(AND(ISNUMBER(F30),ISNUMBER(H30)),F30*H30,"")</f>
        <v>28</v>
      </c>
      <c r="K30" s="8" t="n">
        <f aca="false">IF(AND(ISNUMBER(F30),ISNUMBER(I30)),F30*I30,"")</f>
        <v>29000</v>
      </c>
      <c r="L30" s="9"/>
    </row>
    <row r="31" customFormat="false" ht="15" hidden="false" customHeight="false" outlineLevel="0" collapsed="false">
      <c r="A31" s="10" t="n">
        <v>26</v>
      </c>
      <c r="B31" s="10" t="s">
        <v>15</v>
      </c>
      <c r="C31" s="11" t="s">
        <v>16</v>
      </c>
      <c r="D31" s="11" t="s">
        <v>35</v>
      </c>
      <c r="E31" s="11" t="s">
        <v>55</v>
      </c>
      <c r="F31" s="10" t="n">
        <v>4</v>
      </c>
      <c r="G31" s="10" t="s">
        <v>19</v>
      </c>
      <c r="H31" s="12" t="n">
        <v>25</v>
      </c>
      <c r="I31" s="13" t="n">
        <v>18250</v>
      </c>
      <c r="J31" s="12" t="n">
        <f aca="false">IF(AND(ISNUMBER(F31),ISNUMBER(H31)),F31*H31,"")</f>
        <v>100</v>
      </c>
      <c r="K31" s="13" t="n">
        <f aca="false">IF(AND(ISNUMBER(F31),ISNUMBER(I31)),F31*I31,"")</f>
        <v>73000</v>
      </c>
      <c r="L31" s="14"/>
    </row>
    <row r="32" customFormat="false" ht="15" hidden="false" customHeight="false" outlineLevel="0" collapsed="false">
      <c r="A32" s="5" t="n">
        <v>27</v>
      </c>
      <c r="B32" s="5" t="s">
        <v>15</v>
      </c>
      <c r="C32" s="6" t="s">
        <v>16</v>
      </c>
      <c r="D32" s="6" t="s">
        <v>49</v>
      </c>
      <c r="E32" s="6"/>
      <c r="F32" s="5" t="n">
        <v>1</v>
      </c>
      <c r="G32" s="5" t="s">
        <v>44</v>
      </c>
      <c r="H32" s="7" t="n">
        <v>60</v>
      </c>
      <c r="I32" s="8" t="n">
        <v>26800</v>
      </c>
      <c r="J32" s="7" t="n">
        <f aca="false">IF(AND(ISNUMBER(F32),ISNUMBER(H32)),F32*H32,"")</f>
        <v>60</v>
      </c>
      <c r="K32" s="8" t="n">
        <f aca="false">IF(AND(ISNUMBER(F32),ISNUMBER(I32)),F32*I32,"")</f>
        <v>26800</v>
      </c>
      <c r="L32" s="9" t="s">
        <v>56</v>
      </c>
    </row>
    <row r="33" customFormat="false" ht="15" hidden="false" customHeight="false" outlineLevel="0" collapsed="false">
      <c r="A33" s="10" t="n">
        <v>28</v>
      </c>
      <c r="B33" s="10" t="s">
        <v>57</v>
      </c>
      <c r="C33" s="11" t="s">
        <v>58</v>
      </c>
      <c r="D33" s="11" t="s">
        <v>59</v>
      </c>
      <c r="E33" s="11"/>
      <c r="F33" s="10" t="n">
        <v>16</v>
      </c>
      <c r="G33" s="10" t="s">
        <v>19</v>
      </c>
      <c r="H33" s="12" t="n">
        <v>4.2</v>
      </c>
      <c r="I33" s="13" t="n">
        <v>3000</v>
      </c>
      <c r="J33" s="12" t="n">
        <f aca="false">IF(AND(ISNUMBER(F33),ISNUMBER(H33)),F33*H33,"")</f>
        <v>67.2</v>
      </c>
      <c r="K33" s="13" t="n">
        <f aca="false">IF(AND(ISNUMBER(F33),ISNUMBER(I33)),F33*I33,"")</f>
        <v>48000</v>
      </c>
      <c r="L33" s="14"/>
    </row>
    <row r="34" customFormat="false" ht="15" hidden="false" customHeight="false" outlineLevel="0" collapsed="false">
      <c r="A34" s="5" t="n">
        <v>29</v>
      </c>
      <c r="B34" s="5" t="s">
        <v>57</v>
      </c>
      <c r="C34" s="6" t="s">
        <v>58</v>
      </c>
      <c r="D34" s="6" t="s">
        <v>60</v>
      </c>
      <c r="E34" s="6"/>
      <c r="F34" s="5" t="n">
        <v>20</v>
      </c>
      <c r="G34" s="5" t="s">
        <v>19</v>
      </c>
      <c r="H34" s="7" t="n">
        <v>4.6</v>
      </c>
      <c r="I34" s="8" t="n">
        <v>4250</v>
      </c>
      <c r="J34" s="7" t="n">
        <f aca="false">IF(AND(ISNUMBER(F34),ISNUMBER(H34)),F34*H34,"")</f>
        <v>92</v>
      </c>
      <c r="K34" s="8" t="n">
        <f aca="false">IF(AND(ISNUMBER(F34),ISNUMBER(I34)),F34*I34,"")</f>
        <v>85000</v>
      </c>
      <c r="L34" s="9"/>
    </row>
    <row r="35" customFormat="false" ht="15" hidden="false" customHeight="false" outlineLevel="0" collapsed="false">
      <c r="A35" s="10" t="n">
        <v>30</v>
      </c>
      <c r="B35" s="10" t="s">
        <v>57</v>
      </c>
      <c r="C35" s="11" t="s">
        <v>58</v>
      </c>
      <c r="D35" s="11" t="s">
        <v>61</v>
      </c>
      <c r="E35" s="11"/>
      <c r="F35" s="10" t="n">
        <v>19</v>
      </c>
      <c r="G35" s="10" t="s">
        <v>19</v>
      </c>
      <c r="H35" s="12" t="n">
        <v>4.6</v>
      </c>
      <c r="I35" s="13" t="n">
        <v>4950</v>
      </c>
      <c r="J35" s="12" t="n">
        <f aca="false">IF(AND(ISNUMBER(F35),ISNUMBER(H35)),F35*H35,"")</f>
        <v>87.4</v>
      </c>
      <c r="K35" s="13" t="n">
        <f aca="false">IF(AND(ISNUMBER(F35),ISNUMBER(I35)),F35*I35,"")</f>
        <v>94050</v>
      </c>
      <c r="L35" s="14"/>
    </row>
    <row r="36" customFormat="false" ht="15" hidden="false" customHeight="false" outlineLevel="0" collapsed="false">
      <c r="A36" s="5" t="n">
        <v>31</v>
      </c>
      <c r="B36" s="5" t="s">
        <v>57</v>
      </c>
      <c r="C36" s="6" t="s">
        <v>58</v>
      </c>
      <c r="D36" s="6" t="s">
        <v>62</v>
      </c>
      <c r="E36" s="6"/>
      <c r="F36" s="5" t="n">
        <v>4</v>
      </c>
      <c r="G36" s="5" t="s">
        <v>19</v>
      </c>
      <c r="H36" s="7" t="n">
        <v>4.8</v>
      </c>
      <c r="I36" s="8" t="n">
        <v>6050</v>
      </c>
      <c r="J36" s="7" t="n">
        <f aca="false">IF(AND(ISNUMBER(F36),ISNUMBER(H36)),F36*H36,"")</f>
        <v>19.2</v>
      </c>
      <c r="K36" s="8" t="n">
        <f aca="false">IF(AND(ISNUMBER(F36),ISNUMBER(I36)),F36*I36,"")</f>
        <v>24200</v>
      </c>
      <c r="L36" s="9"/>
    </row>
    <row r="37" customFormat="false" ht="15" hidden="false" customHeight="false" outlineLevel="0" collapsed="false">
      <c r="A37" s="10" t="n">
        <v>32</v>
      </c>
      <c r="B37" s="10" t="s">
        <v>57</v>
      </c>
      <c r="C37" s="11" t="s">
        <v>58</v>
      </c>
      <c r="D37" s="11" t="s">
        <v>63</v>
      </c>
      <c r="E37" s="11"/>
      <c r="F37" s="10" t="n">
        <v>1</v>
      </c>
      <c r="G37" s="10" t="s">
        <v>44</v>
      </c>
      <c r="H37" s="12" t="n">
        <v>2.8</v>
      </c>
      <c r="I37" s="13" t="n">
        <v>3795</v>
      </c>
      <c r="J37" s="12" t="n">
        <f aca="false">IF(AND(ISNUMBER(F37),ISNUMBER(H37)),F37*H37,"")</f>
        <v>2.8</v>
      </c>
      <c r="K37" s="13" t="n">
        <f aca="false">IF(AND(ISNUMBER(F37),ISNUMBER(I37)),F37*I37,"")</f>
        <v>3795</v>
      </c>
      <c r="L37" s="14"/>
    </row>
    <row r="38" customFormat="false" ht="15" hidden="false" customHeight="false" outlineLevel="0" collapsed="false">
      <c r="A38" s="5" t="n">
        <v>33</v>
      </c>
      <c r="B38" s="5" t="s">
        <v>57</v>
      </c>
      <c r="C38" s="6" t="s">
        <v>58</v>
      </c>
      <c r="D38" s="6" t="s">
        <v>64</v>
      </c>
      <c r="E38" s="6"/>
      <c r="F38" s="5" t="n">
        <v>17</v>
      </c>
      <c r="G38" s="5" t="s">
        <v>19</v>
      </c>
      <c r="H38" s="7" t="n">
        <v>14</v>
      </c>
      <c r="I38" s="8" t="n">
        <v>9450</v>
      </c>
      <c r="J38" s="7" t="n">
        <f aca="false">IF(AND(ISNUMBER(F38),ISNUMBER(H38)),F38*H38,"")</f>
        <v>238</v>
      </c>
      <c r="K38" s="8" t="n">
        <f aca="false">IF(AND(ISNUMBER(F38),ISNUMBER(I38)),F38*I38,"")</f>
        <v>160650</v>
      </c>
      <c r="L38" s="9"/>
    </row>
    <row r="39" customFormat="false" ht="15" hidden="false" customHeight="false" outlineLevel="0" collapsed="false">
      <c r="A39" s="10" t="n">
        <v>34</v>
      </c>
      <c r="B39" s="10" t="s">
        <v>57</v>
      </c>
      <c r="C39" s="11" t="s">
        <v>58</v>
      </c>
      <c r="D39" s="11" t="s">
        <v>65</v>
      </c>
      <c r="E39" s="11"/>
      <c r="F39" s="10" t="n">
        <v>9</v>
      </c>
      <c r="G39" s="10" t="s">
        <v>19</v>
      </c>
      <c r="H39" s="12" t="n">
        <v>14</v>
      </c>
      <c r="I39" s="13" t="n">
        <v>9450</v>
      </c>
      <c r="J39" s="12" t="n">
        <f aca="false">IF(AND(ISNUMBER(F39),ISNUMBER(H39)),F39*H39,"")</f>
        <v>126</v>
      </c>
      <c r="K39" s="13" t="n">
        <f aca="false">IF(AND(ISNUMBER(F39),ISNUMBER(I39)),F39*I39,"")</f>
        <v>85050</v>
      </c>
      <c r="L39" s="14"/>
    </row>
    <row r="40" customFormat="false" ht="15" hidden="false" customHeight="false" outlineLevel="0" collapsed="false">
      <c r="A40" s="5" t="n">
        <v>35</v>
      </c>
      <c r="B40" s="5" t="s">
        <v>57</v>
      </c>
      <c r="C40" s="6" t="s">
        <v>58</v>
      </c>
      <c r="D40" s="6" t="s">
        <v>66</v>
      </c>
      <c r="E40" s="6" t="s">
        <v>67</v>
      </c>
      <c r="F40" s="5" t="n">
        <v>9</v>
      </c>
      <c r="G40" s="5" t="s">
        <v>19</v>
      </c>
      <c r="H40" s="7" t="n">
        <v>11</v>
      </c>
      <c r="I40" s="8" t="n">
        <v>12750</v>
      </c>
      <c r="J40" s="7" t="n">
        <f aca="false">IF(AND(ISNUMBER(F40),ISNUMBER(H40)),F40*H40,"")</f>
        <v>99</v>
      </c>
      <c r="K40" s="8" t="n">
        <f aca="false">IF(AND(ISNUMBER(F40),ISNUMBER(I40)),F40*I40,"")</f>
        <v>114750</v>
      </c>
      <c r="L40" s="9"/>
    </row>
    <row r="41" customFormat="false" ht="15" hidden="false" customHeight="false" outlineLevel="0" collapsed="false">
      <c r="A41" s="10" t="n">
        <v>36</v>
      </c>
      <c r="B41" s="10" t="s">
        <v>57</v>
      </c>
      <c r="C41" s="11" t="s">
        <v>58</v>
      </c>
      <c r="D41" s="11" t="s">
        <v>68</v>
      </c>
      <c r="E41" s="11" t="s">
        <v>69</v>
      </c>
      <c r="F41" s="10" t="n">
        <v>18</v>
      </c>
      <c r="G41" s="10" t="s">
        <v>19</v>
      </c>
      <c r="H41" s="12" t="n">
        <v>22</v>
      </c>
      <c r="I41" s="13" t="n">
        <v>6150</v>
      </c>
      <c r="J41" s="12" t="n">
        <f aca="false">IF(AND(ISNUMBER(F41),ISNUMBER(H41)),F41*H41,"")</f>
        <v>396</v>
      </c>
      <c r="K41" s="13" t="n">
        <f aca="false">IF(AND(ISNUMBER(F41),ISNUMBER(I41)),F41*I41,"")</f>
        <v>110700</v>
      </c>
      <c r="L41" s="14"/>
    </row>
    <row r="42" customFormat="false" ht="15" hidden="false" customHeight="false" outlineLevel="0" collapsed="false">
      <c r="A42" s="5" t="n">
        <v>37</v>
      </c>
      <c r="B42" s="5" t="s">
        <v>57</v>
      </c>
      <c r="C42" s="6" t="s">
        <v>58</v>
      </c>
      <c r="D42" s="6" t="s">
        <v>70</v>
      </c>
      <c r="E42" s="6"/>
      <c r="F42" s="5" t="n">
        <v>2</v>
      </c>
      <c r="G42" s="5" t="s">
        <v>19</v>
      </c>
      <c r="H42" s="7" t="n">
        <v>14</v>
      </c>
      <c r="I42" s="8" t="n">
        <v>9450</v>
      </c>
      <c r="J42" s="7" t="n">
        <f aca="false">IF(AND(ISNUMBER(F42),ISNUMBER(H42)),F42*H42,"")</f>
        <v>28</v>
      </c>
      <c r="K42" s="8" t="n">
        <f aca="false">IF(AND(ISNUMBER(F42),ISNUMBER(I42)),F42*I42,"")</f>
        <v>18900</v>
      </c>
      <c r="L42" s="9"/>
    </row>
    <row r="43" customFormat="false" ht="15" hidden="false" customHeight="false" outlineLevel="0" collapsed="false">
      <c r="A43" s="10" t="n">
        <v>38</v>
      </c>
      <c r="B43" s="10" t="s">
        <v>57</v>
      </c>
      <c r="C43" s="11" t="s">
        <v>58</v>
      </c>
      <c r="D43" s="11" t="s">
        <v>71</v>
      </c>
      <c r="E43" s="11"/>
      <c r="F43" s="10" t="n">
        <v>6</v>
      </c>
      <c r="G43" s="10" t="s">
        <v>19</v>
      </c>
      <c r="H43" s="12" t="n">
        <v>20</v>
      </c>
      <c r="I43" s="13" t="n">
        <v>13500</v>
      </c>
      <c r="J43" s="12" t="n">
        <f aca="false">IF(AND(ISNUMBER(F43),ISNUMBER(H43)),F43*H43,"")</f>
        <v>120</v>
      </c>
      <c r="K43" s="13" t="n">
        <f aca="false">IF(AND(ISNUMBER(F43),ISNUMBER(I43)),F43*I43,"")</f>
        <v>81000</v>
      </c>
      <c r="L43" s="14" t="s">
        <v>72</v>
      </c>
    </row>
    <row r="44" customFormat="false" ht="15" hidden="false" customHeight="false" outlineLevel="0" collapsed="false">
      <c r="A44" s="5" t="n">
        <v>39</v>
      </c>
      <c r="B44" s="5" t="s">
        <v>57</v>
      </c>
      <c r="C44" s="6" t="s">
        <v>58</v>
      </c>
      <c r="D44" s="6" t="s">
        <v>73</v>
      </c>
      <c r="E44" s="6" t="s">
        <v>74</v>
      </c>
      <c r="F44" s="5" t="n">
        <v>2</v>
      </c>
      <c r="G44" s="5" t="s">
        <v>19</v>
      </c>
      <c r="H44" s="7" t="n">
        <v>11</v>
      </c>
      <c r="I44" s="8"/>
      <c r="J44" s="7" t="n">
        <f aca="false">IF(AND(ISNUMBER(F44),ISNUMBER(H44)),F44*H44,"")</f>
        <v>22</v>
      </c>
      <c r="K44" s="8" t="str">
        <f aca="false">IF(AND(ISNUMBER(F44),ISNUMBER(I44)),F44*I44,"")</f>
        <v/>
      </c>
      <c r="L44" s="9" t="s">
        <v>41</v>
      </c>
    </row>
    <row r="45" customFormat="false" ht="15" hidden="false" customHeight="false" outlineLevel="0" collapsed="false">
      <c r="A45" s="10" t="n">
        <v>40</v>
      </c>
      <c r="B45" s="10" t="s">
        <v>57</v>
      </c>
      <c r="C45" s="11" t="s">
        <v>58</v>
      </c>
      <c r="D45" s="11" t="s">
        <v>75</v>
      </c>
      <c r="E45" s="11"/>
      <c r="F45" s="10" t="n">
        <v>3</v>
      </c>
      <c r="G45" s="10" t="s">
        <v>19</v>
      </c>
      <c r="H45" s="12" t="n">
        <v>7.5</v>
      </c>
      <c r="I45" s="13" t="n">
        <v>6150</v>
      </c>
      <c r="J45" s="12" t="n">
        <f aca="false">IF(AND(ISNUMBER(F45),ISNUMBER(H45)),F45*H45,"")</f>
        <v>22.5</v>
      </c>
      <c r="K45" s="13" t="n">
        <f aca="false">IF(AND(ISNUMBER(F45),ISNUMBER(I45)),F45*I45,"")</f>
        <v>18450</v>
      </c>
      <c r="L45" s="14" t="s">
        <v>76</v>
      </c>
    </row>
    <row r="46" customFormat="false" ht="15" hidden="false" customHeight="false" outlineLevel="0" collapsed="false">
      <c r="A46" s="5" t="n">
        <v>41</v>
      </c>
      <c r="B46" s="5" t="s">
        <v>57</v>
      </c>
      <c r="C46" s="6" t="s">
        <v>58</v>
      </c>
      <c r="D46" s="6" t="s">
        <v>77</v>
      </c>
      <c r="E46" s="6"/>
      <c r="F46" s="5" t="n">
        <v>4</v>
      </c>
      <c r="G46" s="5" t="s">
        <v>19</v>
      </c>
      <c r="H46" s="7" t="n">
        <v>10</v>
      </c>
      <c r="I46" s="8" t="n">
        <v>7500</v>
      </c>
      <c r="J46" s="7" t="n">
        <f aca="false">IF(AND(ISNUMBER(F46),ISNUMBER(H46)),F46*H46,"")</f>
        <v>40</v>
      </c>
      <c r="K46" s="8" t="n">
        <f aca="false">IF(AND(ISNUMBER(F46),ISNUMBER(I46)),F46*I46,"")</f>
        <v>30000</v>
      </c>
      <c r="L46" s="9"/>
    </row>
    <row r="47" customFormat="false" ht="15" hidden="false" customHeight="false" outlineLevel="0" collapsed="false">
      <c r="A47" s="10" t="n">
        <v>42</v>
      </c>
      <c r="B47" s="10" t="s">
        <v>57</v>
      </c>
      <c r="C47" s="11" t="s">
        <v>58</v>
      </c>
      <c r="D47" s="11" t="s">
        <v>78</v>
      </c>
      <c r="E47" s="11"/>
      <c r="F47" s="10" t="n">
        <v>6</v>
      </c>
      <c r="G47" s="10" t="s">
        <v>19</v>
      </c>
      <c r="H47" s="12" t="n">
        <v>11</v>
      </c>
      <c r="I47" s="13" t="n">
        <v>9075</v>
      </c>
      <c r="J47" s="12" t="n">
        <f aca="false">IF(AND(ISNUMBER(F47),ISNUMBER(H47)),F47*H47,"")</f>
        <v>66</v>
      </c>
      <c r="K47" s="13" t="n">
        <f aca="false">IF(AND(ISNUMBER(F47),ISNUMBER(I47)),F47*I47,"")</f>
        <v>54450</v>
      </c>
      <c r="L47" s="14"/>
    </row>
    <row r="48" customFormat="false" ht="15" hidden="false" customHeight="false" outlineLevel="0" collapsed="false">
      <c r="A48" s="5" t="n">
        <v>43</v>
      </c>
      <c r="B48" s="5" t="s">
        <v>57</v>
      </c>
      <c r="C48" s="6" t="s">
        <v>58</v>
      </c>
      <c r="D48" s="6" t="s">
        <v>79</v>
      </c>
      <c r="E48" s="6"/>
      <c r="F48" s="5" t="n">
        <v>19</v>
      </c>
      <c r="G48" s="5" t="s">
        <v>19</v>
      </c>
      <c r="H48" s="7" t="n">
        <v>6</v>
      </c>
      <c r="I48" s="8" t="n">
        <v>5750</v>
      </c>
      <c r="J48" s="7" t="n">
        <f aca="false">IF(AND(ISNUMBER(F48),ISNUMBER(H48)),F48*H48,"")</f>
        <v>114</v>
      </c>
      <c r="K48" s="8" t="n">
        <f aca="false">IF(AND(ISNUMBER(F48),ISNUMBER(I48)),F48*I48,"")</f>
        <v>109250</v>
      </c>
      <c r="L48" s="9"/>
    </row>
    <row r="49" customFormat="false" ht="15" hidden="false" customHeight="false" outlineLevel="0" collapsed="false">
      <c r="A49" s="10" t="n">
        <v>44</v>
      </c>
      <c r="B49" s="10" t="s">
        <v>57</v>
      </c>
      <c r="C49" s="11" t="s">
        <v>58</v>
      </c>
      <c r="D49" s="11" t="s">
        <v>80</v>
      </c>
      <c r="E49" s="11"/>
      <c r="F49" s="10"/>
      <c r="G49" s="10" t="s">
        <v>81</v>
      </c>
      <c r="H49" s="12" t="n">
        <v>6</v>
      </c>
      <c r="I49" s="13" t="n">
        <v>4950</v>
      </c>
      <c r="J49" s="12" t="str">
        <f aca="false">IF(AND(ISNUMBER(F49),ISNUMBER(H49)),F49*H49,"")</f>
        <v/>
      </c>
      <c r="K49" s="13" t="str">
        <f aca="false">IF(AND(ISNUMBER(F49),ISNUMBER(I49)),F49*I49,"")</f>
        <v/>
      </c>
      <c r="L49" s="14" t="s">
        <v>82</v>
      </c>
    </row>
    <row r="50" customFormat="false" ht="15" hidden="false" customHeight="false" outlineLevel="0" collapsed="false">
      <c r="A50" s="5" t="n">
        <v>45</v>
      </c>
      <c r="B50" s="5" t="s">
        <v>83</v>
      </c>
      <c r="C50" s="6" t="s">
        <v>84</v>
      </c>
      <c r="D50" s="6" t="s">
        <v>85</v>
      </c>
      <c r="E50" s="6"/>
      <c r="F50" s="5" t="n">
        <v>76</v>
      </c>
      <c r="G50" s="5" t="s">
        <v>19</v>
      </c>
      <c r="H50" s="7" t="n">
        <v>0.2</v>
      </c>
      <c r="I50" s="8" t="n">
        <v>100</v>
      </c>
      <c r="J50" s="7" t="n">
        <f aca="false">IF(AND(ISNUMBER(F50),ISNUMBER(H50)),F50*H50,"")</f>
        <v>15.2</v>
      </c>
      <c r="K50" s="8" t="n">
        <f aca="false">IF(AND(ISNUMBER(F50),ISNUMBER(I50)),F50*I50,"")</f>
        <v>7600</v>
      </c>
      <c r="L50" s="9"/>
    </row>
    <row r="51" customFormat="false" ht="15" hidden="false" customHeight="false" outlineLevel="0" collapsed="false">
      <c r="A51" s="10" t="n">
        <v>46</v>
      </c>
      <c r="B51" s="10" t="s">
        <v>83</v>
      </c>
      <c r="C51" s="11" t="s">
        <v>84</v>
      </c>
      <c r="D51" s="11" t="s">
        <v>86</v>
      </c>
      <c r="E51" s="11"/>
      <c r="F51" s="10" t="n">
        <v>530</v>
      </c>
      <c r="G51" s="10" t="s">
        <v>19</v>
      </c>
      <c r="H51" s="12" t="n">
        <v>0.2</v>
      </c>
      <c r="I51" s="13" t="n">
        <v>100</v>
      </c>
      <c r="J51" s="12" t="n">
        <f aca="false">IF(AND(ISNUMBER(F51),ISNUMBER(H51)),F51*H51,"")</f>
        <v>106</v>
      </c>
      <c r="K51" s="13" t="n">
        <f aca="false">IF(AND(ISNUMBER(F51),ISNUMBER(I51)),F51*I51,"")</f>
        <v>53000</v>
      </c>
      <c r="L51" s="14"/>
    </row>
    <row r="52" customFormat="false" ht="15" hidden="false" customHeight="false" outlineLevel="0" collapsed="false">
      <c r="A52" s="5" t="n">
        <v>47</v>
      </c>
      <c r="B52" s="5" t="s">
        <v>83</v>
      </c>
      <c r="C52" s="6" t="s">
        <v>84</v>
      </c>
      <c r="D52" s="6" t="s">
        <v>87</v>
      </c>
      <c r="E52" s="6"/>
      <c r="F52" s="5" t="n">
        <v>200</v>
      </c>
      <c r="G52" s="5" t="s">
        <v>19</v>
      </c>
      <c r="H52" s="7" t="n">
        <v>0.3</v>
      </c>
      <c r="I52" s="8" t="n">
        <v>100</v>
      </c>
      <c r="J52" s="7" t="n">
        <f aca="false">IF(AND(ISNUMBER(F52),ISNUMBER(H52)),F52*H52,"")</f>
        <v>60</v>
      </c>
      <c r="K52" s="8" t="n">
        <f aca="false">IF(AND(ISNUMBER(F52),ISNUMBER(I52)),F52*I52,"")</f>
        <v>20000</v>
      </c>
      <c r="L52" s="9"/>
    </row>
    <row r="53" customFormat="false" ht="15" hidden="false" customHeight="false" outlineLevel="0" collapsed="false">
      <c r="A53" s="10" t="n">
        <v>48</v>
      </c>
      <c r="B53" s="10" t="s">
        <v>83</v>
      </c>
      <c r="C53" s="11" t="s">
        <v>84</v>
      </c>
      <c r="D53" s="11" t="s">
        <v>88</v>
      </c>
      <c r="E53" s="11"/>
      <c r="F53" s="10" t="n">
        <v>62</v>
      </c>
      <c r="G53" s="10" t="s">
        <v>19</v>
      </c>
      <c r="H53" s="12" t="n">
        <v>0.2</v>
      </c>
      <c r="I53" s="13" t="n">
        <v>100</v>
      </c>
      <c r="J53" s="12" t="n">
        <f aca="false">IF(AND(ISNUMBER(F53),ISNUMBER(H53)),F53*H53,"")</f>
        <v>12.4</v>
      </c>
      <c r="K53" s="13" t="n">
        <f aca="false">IF(AND(ISNUMBER(F53),ISNUMBER(I53)),F53*I53,"")</f>
        <v>6200</v>
      </c>
      <c r="L53" s="14"/>
    </row>
    <row r="54" customFormat="false" ht="15" hidden="false" customHeight="false" outlineLevel="0" collapsed="false">
      <c r="A54" s="5" t="n">
        <v>49</v>
      </c>
      <c r="B54" s="5" t="s">
        <v>83</v>
      </c>
      <c r="C54" s="6" t="s">
        <v>84</v>
      </c>
      <c r="D54" s="6" t="s">
        <v>89</v>
      </c>
      <c r="E54" s="6"/>
      <c r="F54" s="5" t="n">
        <v>150</v>
      </c>
      <c r="G54" s="5" t="s">
        <v>19</v>
      </c>
      <c r="H54" s="7" t="n">
        <v>0.2</v>
      </c>
      <c r="I54" s="8" t="n">
        <v>100</v>
      </c>
      <c r="J54" s="7" t="n">
        <f aca="false">IF(AND(ISNUMBER(F54),ISNUMBER(H54)),F54*H54,"")</f>
        <v>30</v>
      </c>
      <c r="K54" s="8" t="n">
        <f aca="false">IF(AND(ISNUMBER(F54),ISNUMBER(I54)),F54*I54,"")</f>
        <v>15000</v>
      </c>
      <c r="L54" s="9"/>
    </row>
    <row r="55" customFormat="false" ht="15" hidden="false" customHeight="false" outlineLevel="0" collapsed="false">
      <c r="A55" s="10" t="n">
        <v>50</v>
      </c>
      <c r="B55" s="10" t="s">
        <v>83</v>
      </c>
      <c r="C55" s="11" t="s">
        <v>84</v>
      </c>
      <c r="D55" s="11" t="s">
        <v>90</v>
      </c>
      <c r="E55" s="11"/>
      <c r="F55" s="10" t="n">
        <v>350</v>
      </c>
      <c r="G55" s="10" t="s">
        <v>19</v>
      </c>
      <c r="H55" s="12" t="n">
        <v>0.3</v>
      </c>
      <c r="I55" s="13" t="n">
        <v>100</v>
      </c>
      <c r="J55" s="12" t="n">
        <f aca="false">IF(AND(ISNUMBER(F55),ISNUMBER(H55)),F55*H55,"")</f>
        <v>105</v>
      </c>
      <c r="K55" s="13" t="n">
        <f aca="false">IF(AND(ISNUMBER(F55),ISNUMBER(I55)),F55*I55,"")</f>
        <v>35000</v>
      </c>
      <c r="L55" s="14"/>
    </row>
    <row r="56" customFormat="false" ht="15" hidden="false" customHeight="false" outlineLevel="0" collapsed="false">
      <c r="A56" s="5" t="n">
        <v>51</v>
      </c>
      <c r="B56" s="5" t="s">
        <v>83</v>
      </c>
      <c r="C56" s="6" t="s">
        <v>84</v>
      </c>
      <c r="D56" s="6" t="s">
        <v>91</v>
      </c>
      <c r="E56" s="6"/>
      <c r="F56" s="5" t="n">
        <v>200</v>
      </c>
      <c r="G56" s="5" t="s">
        <v>19</v>
      </c>
      <c r="H56" s="7" t="n">
        <v>0.2</v>
      </c>
      <c r="I56" s="8" t="n">
        <v>80</v>
      </c>
      <c r="J56" s="7" t="n">
        <f aca="false">IF(AND(ISNUMBER(F56),ISNUMBER(H56)),F56*H56,"")</f>
        <v>40</v>
      </c>
      <c r="K56" s="8" t="n">
        <f aca="false">IF(AND(ISNUMBER(F56),ISNUMBER(I56)),F56*I56,"")</f>
        <v>16000</v>
      </c>
      <c r="L56" s="9"/>
    </row>
    <row r="57" customFormat="false" ht="15" hidden="false" customHeight="false" outlineLevel="0" collapsed="false">
      <c r="A57" s="10" t="n">
        <v>52</v>
      </c>
      <c r="B57" s="10" t="s">
        <v>83</v>
      </c>
      <c r="C57" s="11" t="s">
        <v>84</v>
      </c>
      <c r="D57" s="11" t="s">
        <v>92</v>
      </c>
      <c r="E57" s="11"/>
      <c r="F57" s="10" t="n">
        <v>98</v>
      </c>
      <c r="G57" s="10" t="s">
        <v>19</v>
      </c>
      <c r="H57" s="12" t="n">
        <v>0.3</v>
      </c>
      <c r="I57" s="13" t="n">
        <v>100</v>
      </c>
      <c r="J57" s="12" t="n">
        <f aca="false">IF(AND(ISNUMBER(F57),ISNUMBER(H57)),F57*H57,"")</f>
        <v>29.4</v>
      </c>
      <c r="K57" s="13" t="n">
        <f aca="false">IF(AND(ISNUMBER(F57),ISNUMBER(I57)),F57*I57,"")</f>
        <v>9800</v>
      </c>
      <c r="L57" s="14"/>
    </row>
    <row r="58" customFormat="false" ht="15" hidden="false" customHeight="false" outlineLevel="0" collapsed="false">
      <c r="A58" s="5" t="n">
        <v>53</v>
      </c>
      <c r="B58" s="5" t="s">
        <v>83</v>
      </c>
      <c r="C58" s="6" t="s">
        <v>84</v>
      </c>
      <c r="D58" s="6" t="s">
        <v>93</v>
      </c>
      <c r="E58" s="6"/>
      <c r="F58" s="5" t="n">
        <v>119</v>
      </c>
      <c r="G58" s="5" t="s">
        <v>19</v>
      </c>
      <c r="H58" s="7" t="n">
        <v>3.5</v>
      </c>
      <c r="I58" s="8" t="n">
        <v>80</v>
      </c>
      <c r="J58" s="7" t="n">
        <f aca="false">IF(AND(ISNUMBER(F58),ISNUMBER(H58)),F58*H58,"")</f>
        <v>416.5</v>
      </c>
      <c r="K58" s="8" t="n">
        <f aca="false">IF(AND(ISNUMBER(F58),ISNUMBER(I58)),F58*I58,"")</f>
        <v>9520</v>
      </c>
      <c r="L58" s="9" t="s">
        <v>94</v>
      </c>
    </row>
    <row r="59" customFormat="false" ht="15" hidden="false" customHeight="false" outlineLevel="0" collapsed="false">
      <c r="A59" s="10" t="n">
        <v>54</v>
      </c>
      <c r="B59" s="10" t="s">
        <v>83</v>
      </c>
      <c r="C59" s="11" t="s">
        <v>84</v>
      </c>
      <c r="D59" s="11" t="s">
        <v>95</v>
      </c>
      <c r="E59" s="11"/>
      <c r="F59" s="10" t="n">
        <v>100</v>
      </c>
      <c r="G59" s="10" t="s">
        <v>19</v>
      </c>
      <c r="H59" s="12" t="n">
        <v>0.1</v>
      </c>
      <c r="I59" s="13" t="n">
        <v>30</v>
      </c>
      <c r="J59" s="12" t="n">
        <f aca="false">IF(AND(ISNUMBER(F59),ISNUMBER(H59)),F59*H59,"")</f>
        <v>10</v>
      </c>
      <c r="K59" s="13" t="n">
        <f aca="false">IF(AND(ISNUMBER(F59),ISNUMBER(I59)),F59*I59,"")</f>
        <v>3000</v>
      </c>
      <c r="L59" s="14"/>
    </row>
    <row r="60" customFormat="false" ht="15" hidden="false" customHeight="false" outlineLevel="0" collapsed="false">
      <c r="A60" s="5" t="n">
        <v>55</v>
      </c>
      <c r="B60" s="5" t="s">
        <v>83</v>
      </c>
      <c r="C60" s="6" t="s">
        <v>84</v>
      </c>
      <c r="D60" s="6" t="s">
        <v>96</v>
      </c>
      <c r="E60" s="6"/>
      <c r="F60" s="5" t="n">
        <v>50</v>
      </c>
      <c r="G60" s="5" t="s">
        <v>19</v>
      </c>
      <c r="H60" s="7" t="n">
        <v>0.1</v>
      </c>
      <c r="I60" s="8" t="n">
        <v>30</v>
      </c>
      <c r="J60" s="7" t="n">
        <f aca="false">IF(AND(ISNUMBER(F60),ISNUMBER(H60)),F60*H60,"")</f>
        <v>5</v>
      </c>
      <c r="K60" s="8" t="n">
        <f aca="false">IF(AND(ISNUMBER(F60),ISNUMBER(I60)),F60*I60,"")</f>
        <v>1500</v>
      </c>
      <c r="L60" s="9"/>
    </row>
    <row r="61" customFormat="false" ht="15" hidden="false" customHeight="false" outlineLevel="0" collapsed="false">
      <c r="A61" s="10" t="n">
        <v>56</v>
      </c>
      <c r="B61" s="10" t="s">
        <v>83</v>
      </c>
      <c r="C61" s="11" t="s">
        <v>84</v>
      </c>
      <c r="D61" s="11" t="s">
        <v>97</v>
      </c>
      <c r="E61" s="11"/>
      <c r="F61" s="10" t="n">
        <v>500</v>
      </c>
      <c r="G61" s="10" t="s">
        <v>19</v>
      </c>
      <c r="H61" s="12" t="n">
        <v>0.1</v>
      </c>
      <c r="I61" s="13" t="n">
        <v>350</v>
      </c>
      <c r="J61" s="12" t="n">
        <f aca="false">IF(AND(ISNUMBER(F61),ISNUMBER(H61)),F61*H61,"")</f>
        <v>50</v>
      </c>
      <c r="K61" s="13" t="n">
        <f aca="false">IF(AND(ISNUMBER(F61),ISNUMBER(I61)),F61*I61,"")</f>
        <v>175000</v>
      </c>
      <c r="L61" s="14"/>
    </row>
    <row r="62" customFormat="false" ht="15" hidden="false" customHeight="false" outlineLevel="0" collapsed="false">
      <c r="A62" s="5" t="n">
        <v>57</v>
      </c>
      <c r="B62" s="5" t="s">
        <v>83</v>
      </c>
      <c r="C62" s="6" t="s">
        <v>84</v>
      </c>
      <c r="D62" s="6" t="s">
        <v>98</v>
      </c>
      <c r="E62" s="6"/>
      <c r="F62" s="5" t="n">
        <v>100</v>
      </c>
      <c r="G62" s="5" t="s">
        <v>19</v>
      </c>
      <c r="H62" s="7" t="n">
        <v>0.1</v>
      </c>
      <c r="I62" s="8" t="n">
        <v>350</v>
      </c>
      <c r="J62" s="7" t="n">
        <f aca="false">IF(AND(ISNUMBER(F62),ISNUMBER(H62)),F62*H62,"")</f>
        <v>10</v>
      </c>
      <c r="K62" s="8" t="n">
        <f aca="false">IF(AND(ISNUMBER(F62),ISNUMBER(I62)),F62*I62,"")</f>
        <v>35000</v>
      </c>
      <c r="L62" s="9"/>
    </row>
    <row r="63" customFormat="false" ht="15" hidden="false" customHeight="false" outlineLevel="0" collapsed="false">
      <c r="A63" s="10" t="n">
        <v>58</v>
      </c>
      <c r="B63" s="10" t="s">
        <v>83</v>
      </c>
      <c r="C63" s="11" t="s">
        <v>84</v>
      </c>
      <c r="D63" s="11" t="s">
        <v>99</v>
      </c>
      <c r="E63" s="11"/>
      <c r="F63" s="10" t="n">
        <v>200</v>
      </c>
      <c r="G63" s="10" t="s">
        <v>19</v>
      </c>
      <c r="H63" s="12" t="n">
        <v>0.1</v>
      </c>
      <c r="I63" s="13" t="n">
        <v>120</v>
      </c>
      <c r="J63" s="12" t="n">
        <f aca="false">IF(AND(ISNUMBER(F63),ISNUMBER(H63)),F63*H63,"")</f>
        <v>20</v>
      </c>
      <c r="K63" s="13" t="n">
        <f aca="false">IF(AND(ISNUMBER(F63),ISNUMBER(I63)),F63*I63,"")</f>
        <v>24000</v>
      </c>
      <c r="L63" s="14"/>
    </row>
    <row r="64" customFormat="false" ht="15" hidden="false" customHeight="false" outlineLevel="0" collapsed="false">
      <c r="A64" s="5" t="n">
        <v>59</v>
      </c>
      <c r="B64" s="5" t="s">
        <v>83</v>
      </c>
      <c r="C64" s="6" t="s">
        <v>84</v>
      </c>
      <c r="D64" s="6" t="s">
        <v>100</v>
      </c>
      <c r="E64" s="6" t="s">
        <v>101</v>
      </c>
      <c r="F64" s="5" t="n">
        <v>196</v>
      </c>
      <c r="G64" s="5" t="s">
        <v>19</v>
      </c>
      <c r="H64" s="7" t="n">
        <v>0.1</v>
      </c>
      <c r="I64" s="8" t="n">
        <v>100</v>
      </c>
      <c r="J64" s="7" t="n">
        <f aca="false">IF(AND(ISNUMBER(F64),ISNUMBER(H64)),F64*H64,"")</f>
        <v>19.6</v>
      </c>
      <c r="K64" s="8" t="n">
        <f aca="false">IF(AND(ISNUMBER(F64),ISNUMBER(I64)),F64*I64,"")</f>
        <v>19600</v>
      </c>
      <c r="L64" s="9"/>
    </row>
    <row r="65" customFormat="false" ht="15" hidden="false" customHeight="false" outlineLevel="0" collapsed="false">
      <c r="A65" s="10" t="n">
        <v>60</v>
      </c>
      <c r="B65" s="10" t="s">
        <v>83</v>
      </c>
      <c r="C65" s="11" t="s">
        <v>84</v>
      </c>
      <c r="D65" s="11" t="s">
        <v>102</v>
      </c>
      <c r="E65" s="11"/>
      <c r="F65" s="10" t="n">
        <v>100</v>
      </c>
      <c r="G65" s="10" t="s">
        <v>19</v>
      </c>
      <c r="H65" s="12" t="n">
        <v>0.1</v>
      </c>
      <c r="I65" s="13" t="n">
        <v>350</v>
      </c>
      <c r="J65" s="12" t="n">
        <f aca="false">IF(AND(ISNUMBER(F65),ISNUMBER(H65)),F65*H65,"")</f>
        <v>10</v>
      </c>
      <c r="K65" s="13" t="n">
        <f aca="false">IF(AND(ISNUMBER(F65),ISNUMBER(I65)),F65*I65,"")</f>
        <v>35000</v>
      </c>
      <c r="L65" s="14"/>
    </row>
    <row r="66" customFormat="false" ht="15" hidden="false" customHeight="false" outlineLevel="0" collapsed="false">
      <c r="A66" s="5" t="n">
        <v>61</v>
      </c>
      <c r="B66" s="5" t="s">
        <v>83</v>
      </c>
      <c r="C66" s="6" t="s">
        <v>84</v>
      </c>
      <c r="D66" s="6" t="s">
        <v>103</v>
      </c>
      <c r="E66" s="6" t="s">
        <v>104</v>
      </c>
      <c r="F66" s="5" t="n">
        <v>9</v>
      </c>
      <c r="G66" s="5" t="s">
        <v>19</v>
      </c>
      <c r="H66" s="7" t="n">
        <v>8.5</v>
      </c>
      <c r="I66" s="8" t="n">
        <v>5800</v>
      </c>
      <c r="J66" s="7" t="n">
        <f aca="false">IF(AND(ISNUMBER(F66),ISNUMBER(H66)),F66*H66,"")</f>
        <v>76.5</v>
      </c>
      <c r="K66" s="8" t="n">
        <f aca="false">IF(AND(ISNUMBER(F66),ISNUMBER(I66)),F66*I66,"")</f>
        <v>52200</v>
      </c>
      <c r="L66" s="9"/>
    </row>
    <row r="67" customFormat="false" ht="15" hidden="false" customHeight="false" outlineLevel="0" collapsed="false">
      <c r="A67" s="10" t="n">
        <v>62</v>
      </c>
      <c r="B67" s="10" t="s">
        <v>83</v>
      </c>
      <c r="C67" s="11" t="s">
        <v>84</v>
      </c>
      <c r="D67" s="11" t="s">
        <v>105</v>
      </c>
      <c r="E67" s="11"/>
      <c r="F67" s="10" t="n">
        <v>4</v>
      </c>
      <c r="G67" s="10" t="s">
        <v>19</v>
      </c>
      <c r="H67" s="12" t="n">
        <v>38</v>
      </c>
      <c r="I67" s="13" t="n">
        <v>9310</v>
      </c>
      <c r="J67" s="12" t="n">
        <f aca="false">IF(AND(ISNUMBER(F67),ISNUMBER(H67)),F67*H67,"")</f>
        <v>152</v>
      </c>
      <c r="K67" s="13" t="n">
        <f aca="false">IF(AND(ISNUMBER(F67),ISNUMBER(I67)),F67*I67,"")</f>
        <v>37240</v>
      </c>
      <c r="L67" s="14"/>
    </row>
    <row r="68" customFormat="false" ht="15" hidden="false" customHeight="false" outlineLevel="0" collapsed="false">
      <c r="A68" s="5" t="n">
        <v>63</v>
      </c>
      <c r="B68" s="5" t="s">
        <v>83</v>
      </c>
      <c r="C68" s="6" t="s">
        <v>84</v>
      </c>
      <c r="D68" s="6" t="s">
        <v>106</v>
      </c>
      <c r="E68" s="6"/>
      <c r="F68" s="5" t="n">
        <v>3</v>
      </c>
      <c r="G68" s="5" t="s">
        <v>107</v>
      </c>
      <c r="H68" s="7" t="n">
        <v>87</v>
      </c>
      <c r="I68" s="8" t="n">
        <v>30450</v>
      </c>
      <c r="J68" s="7" t="n">
        <f aca="false">IF(AND(ISNUMBER(F68),ISNUMBER(H68)),F68*H68,"")</f>
        <v>261</v>
      </c>
      <c r="K68" s="8" t="n">
        <f aca="false">IF(AND(ISNUMBER(F68),ISNUMBER(I68)),F68*I68,"")</f>
        <v>91350</v>
      </c>
      <c r="L68" s="9"/>
    </row>
    <row r="69" customFormat="false" ht="15" hidden="false" customHeight="false" outlineLevel="0" collapsed="false">
      <c r="A69" s="10" t="n">
        <v>64</v>
      </c>
      <c r="B69" s="10" t="s">
        <v>83</v>
      </c>
      <c r="C69" s="11" t="s">
        <v>84</v>
      </c>
      <c r="D69" s="11" t="s">
        <v>108</v>
      </c>
      <c r="E69" s="11" t="s">
        <v>109</v>
      </c>
      <c r="F69" s="10" t="n">
        <v>99</v>
      </c>
      <c r="G69" s="10" t="s">
        <v>19</v>
      </c>
      <c r="H69" s="12"/>
      <c r="I69" s="13"/>
      <c r="J69" s="12" t="str">
        <f aca="false">IF(AND(ISNUMBER(F69),ISNUMBER(H69)),F69*H69,"")</f>
        <v/>
      </c>
      <c r="K69" s="13" t="str">
        <f aca="false">IF(AND(ISNUMBER(F69),ISNUMBER(I69)),F69*I69,"")</f>
        <v/>
      </c>
      <c r="L69" s="14" t="s">
        <v>37</v>
      </c>
    </row>
    <row r="70" customFormat="false" ht="15" hidden="false" customHeight="false" outlineLevel="0" collapsed="false">
      <c r="A70" s="5" t="n">
        <v>65</v>
      </c>
      <c r="B70" s="5" t="s">
        <v>83</v>
      </c>
      <c r="C70" s="6" t="s">
        <v>84</v>
      </c>
      <c r="D70" s="6" t="s">
        <v>110</v>
      </c>
      <c r="E70" s="6"/>
      <c r="F70" s="5" t="n">
        <v>170</v>
      </c>
      <c r="G70" s="5" t="s">
        <v>19</v>
      </c>
      <c r="H70" s="7" t="n">
        <v>10</v>
      </c>
      <c r="I70" s="8" t="n">
        <v>100</v>
      </c>
      <c r="J70" s="7" t="n">
        <f aca="false">IF(AND(ISNUMBER(F70),ISNUMBER(H70)),F70*H70,"")</f>
        <v>1700</v>
      </c>
      <c r="K70" s="8" t="n">
        <f aca="false">IF(AND(ISNUMBER(F70),ISNUMBER(I70)),F70*I70,"")</f>
        <v>17000</v>
      </c>
      <c r="L70" s="9" t="s">
        <v>111</v>
      </c>
    </row>
    <row r="71" customFormat="false" ht="15" hidden="false" customHeight="false" outlineLevel="0" collapsed="false">
      <c r="A71" s="10" t="n">
        <v>66</v>
      </c>
      <c r="B71" s="10" t="s">
        <v>83</v>
      </c>
      <c r="C71" s="11" t="s">
        <v>84</v>
      </c>
      <c r="D71" s="11" t="s">
        <v>112</v>
      </c>
      <c r="E71" s="11" t="s">
        <v>113</v>
      </c>
      <c r="F71" s="10" t="n">
        <v>18</v>
      </c>
      <c r="G71" s="10" t="s">
        <v>19</v>
      </c>
      <c r="H71" s="12" t="n">
        <v>8.5</v>
      </c>
      <c r="I71" s="13" t="n">
        <v>5500</v>
      </c>
      <c r="J71" s="12" t="n">
        <f aca="false">IF(AND(ISNUMBER(F71),ISNUMBER(H71)),F71*H71,"")</f>
        <v>153</v>
      </c>
      <c r="K71" s="13" t="n">
        <f aca="false">IF(AND(ISNUMBER(F71),ISNUMBER(I71)),F71*I71,"")</f>
        <v>99000</v>
      </c>
      <c r="L71" s="14"/>
    </row>
    <row r="72" customFormat="false" ht="15" hidden="false" customHeight="false" outlineLevel="0" collapsed="false">
      <c r="A72" s="5" t="n">
        <v>67</v>
      </c>
      <c r="B72" s="5" t="s">
        <v>83</v>
      </c>
      <c r="C72" s="6" t="s">
        <v>84</v>
      </c>
      <c r="D72" s="6" t="s">
        <v>114</v>
      </c>
      <c r="E72" s="6"/>
      <c r="F72" s="5" t="n">
        <v>500</v>
      </c>
      <c r="G72" s="5" t="s">
        <v>19</v>
      </c>
      <c r="H72" s="7" t="n">
        <v>10</v>
      </c>
      <c r="I72" s="8"/>
      <c r="J72" s="7" t="n">
        <f aca="false">IF(AND(ISNUMBER(F72),ISNUMBER(H72)),F72*H72,"")</f>
        <v>5000</v>
      </c>
      <c r="K72" s="8" t="str">
        <f aca="false">IF(AND(ISNUMBER(F72),ISNUMBER(I72)),F72*I72,"")</f>
        <v/>
      </c>
      <c r="L72" s="9" t="s">
        <v>115</v>
      </c>
    </row>
    <row r="73" customFormat="false" ht="15" hidden="false" customHeight="false" outlineLevel="0" collapsed="false">
      <c r="A73" s="10" t="n">
        <v>68</v>
      </c>
      <c r="B73" s="10" t="s">
        <v>83</v>
      </c>
      <c r="C73" s="11" t="s">
        <v>84</v>
      </c>
      <c r="D73" s="11" t="s">
        <v>116</v>
      </c>
      <c r="E73" s="11"/>
      <c r="F73" s="10" t="n">
        <v>500</v>
      </c>
      <c r="G73" s="10" t="s">
        <v>19</v>
      </c>
      <c r="H73" s="12" t="n">
        <v>10</v>
      </c>
      <c r="I73" s="13"/>
      <c r="J73" s="12" t="n">
        <f aca="false">IF(AND(ISNUMBER(F73),ISNUMBER(H73)),F73*H73,"")</f>
        <v>5000</v>
      </c>
      <c r="K73" s="13" t="str">
        <f aca="false">IF(AND(ISNUMBER(F73),ISNUMBER(I73)),F73*I73,"")</f>
        <v/>
      </c>
      <c r="L73" s="14" t="s">
        <v>115</v>
      </c>
    </row>
    <row r="74" customFormat="false" ht="15" hidden="false" customHeight="false" outlineLevel="0" collapsed="false">
      <c r="A74" s="5" t="n">
        <v>69</v>
      </c>
      <c r="B74" s="5" t="s">
        <v>83</v>
      </c>
      <c r="C74" s="6" t="s">
        <v>84</v>
      </c>
      <c r="D74" s="6" t="s">
        <v>117</v>
      </c>
      <c r="E74" s="6"/>
      <c r="F74" s="5" t="n">
        <v>500</v>
      </c>
      <c r="G74" s="5" t="s">
        <v>19</v>
      </c>
      <c r="H74" s="7"/>
      <c r="I74" s="8"/>
      <c r="J74" s="7" t="str">
        <f aca="false">IF(AND(ISNUMBER(F74),ISNUMBER(H74)),F74*H74,"")</f>
        <v/>
      </c>
      <c r="K74" s="8" t="str">
        <f aca="false">IF(AND(ISNUMBER(F74),ISNUMBER(I74)),F74*I74,"")</f>
        <v/>
      </c>
      <c r="L74" s="9" t="s">
        <v>37</v>
      </c>
    </row>
    <row r="75" customFormat="false" ht="15" hidden="false" customHeight="false" outlineLevel="0" collapsed="false">
      <c r="A75" s="10" t="n">
        <v>70</v>
      </c>
      <c r="B75" s="10" t="s">
        <v>118</v>
      </c>
      <c r="C75" s="11" t="s">
        <v>119</v>
      </c>
      <c r="D75" s="11" t="s">
        <v>120</v>
      </c>
      <c r="E75" s="11" t="s">
        <v>121</v>
      </c>
      <c r="F75" s="10" t="n">
        <v>5</v>
      </c>
      <c r="G75" s="10" t="s">
        <v>19</v>
      </c>
      <c r="H75" s="12" t="n">
        <v>55</v>
      </c>
      <c r="I75" s="13"/>
      <c r="J75" s="12" t="n">
        <f aca="false">IF(AND(ISNUMBER(F75),ISNUMBER(H75)),F75*H75,"")</f>
        <v>275</v>
      </c>
      <c r="K75" s="13" t="str">
        <f aca="false">IF(AND(ISNUMBER(F75),ISNUMBER(I75)),F75*I75,"")</f>
        <v/>
      </c>
      <c r="L75" s="14" t="s">
        <v>122</v>
      </c>
    </row>
    <row r="76" customFormat="false" ht="15" hidden="false" customHeight="false" outlineLevel="0" collapsed="false">
      <c r="A76" s="5" t="n">
        <v>71</v>
      </c>
      <c r="B76" s="5" t="s">
        <v>118</v>
      </c>
      <c r="C76" s="6" t="s">
        <v>119</v>
      </c>
      <c r="D76" s="6" t="s">
        <v>120</v>
      </c>
      <c r="E76" s="6" t="s">
        <v>123</v>
      </c>
      <c r="F76" s="5" t="n">
        <v>5</v>
      </c>
      <c r="G76" s="5" t="s">
        <v>19</v>
      </c>
      <c r="H76" s="7"/>
      <c r="I76" s="8"/>
      <c r="J76" s="7" t="str">
        <f aca="false">IF(AND(ISNUMBER(F76),ISNUMBER(H76)),F76*H76,"")</f>
        <v/>
      </c>
      <c r="K76" s="8" t="str">
        <f aca="false">IF(AND(ISNUMBER(F76),ISNUMBER(I76)),F76*I76,"")</f>
        <v/>
      </c>
      <c r="L76" s="9" t="s">
        <v>37</v>
      </c>
    </row>
    <row r="77" customFormat="false" ht="15" hidden="false" customHeight="false" outlineLevel="0" collapsed="false">
      <c r="A77" s="10" t="n">
        <v>72</v>
      </c>
      <c r="B77" s="10" t="s">
        <v>118</v>
      </c>
      <c r="C77" s="11" t="s">
        <v>119</v>
      </c>
      <c r="D77" s="11" t="s">
        <v>120</v>
      </c>
      <c r="E77" s="11" t="s">
        <v>124</v>
      </c>
      <c r="F77" s="10" t="n">
        <v>5</v>
      </c>
      <c r="G77" s="10" t="s">
        <v>19</v>
      </c>
      <c r="H77" s="12"/>
      <c r="I77" s="13"/>
      <c r="J77" s="12" t="str">
        <f aca="false">IF(AND(ISNUMBER(F77),ISNUMBER(H77)),F77*H77,"")</f>
        <v/>
      </c>
      <c r="K77" s="13" t="str">
        <f aca="false">IF(AND(ISNUMBER(F77),ISNUMBER(I77)),F77*I77,"")</f>
        <v/>
      </c>
      <c r="L77" s="14" t="s">
        <v>37</v>
      </c>
    </row>
    <row r="78" customFormat="false" ht="15" hidden="false" customHeight="false" outlineLevel="0" collapsed="false">
      <c r="A78" s="5" t="n">
        <v>73</v>
      </c>
      <c r="B78" s="5" t="s">
        <v>118</v>
      </c>
      <c r="C78" s="6" t="s">
        <v>119</v>
      </c>
      <c r="D78" s="6" t="s">
        <v>120</v>
      </c>
      <c r="E78" s="6" t="s">
        <v>125</v>
      </c>
      <c r="F78" s="5" t="n">
        <v>20</v>
      </c>
      <c r="G78" s="5" t="s">
        <v>19</v>
      </c>
      <c r="H78" s="7" t="n">
        <v>30</v>
      </c>
      <c r="I78" s="8" t="n">
        <v>14750</v>
      </c>
      <c r="J78" s="7" t="n">
        <f aca="false">IF(AND(ISNUMBER(F78),ISNUMBER(H78)),F78*H78,"")</f>
        <v>600</v>
      </c>
      <c r="K78" s="8" t="n">
        <f aca="false">IF(AND(ISNUMBER(F78),ISNUMBER(I78)),F78*I78,"")</f>
        <v>295000</v>
      </c>
      <c r="L78" s="9"/>
    </row>
    <row r="79" customFormat="false" ht="15" hidden="false" customHeight="false" outlineLevel="0" collapsed="false">
      <c r="A79" s="10" t="n">
        <v>74</v>
      </c>
      <c r="B79" s="10" t="s">
        <v>118</v>
      </c>
      <c r="C79" s="11" t="s">
        <v>119</v>
      </c>
      <c r="D79" s="11" t="s">
        <v>120</v>
      </c>
      <c r="E79" s="11" t="s">
        <v>126</v>
      </c>
      <c r="F79" s="10" t="n">
        <v>4</v>
      </c>
      <c r="G79" s="10" t="s">
        <v>19</v>
      </c>
      <c r="H79" s="12" t="n">
        <v>26</v>
      </c>
      <c r="I79" s="13" t="n">
        <v>18500</v>
      </c>
      <c r="J79" s="12" t="n">
        <f aca="false">IF(AND(ISNUMBER(F79),ISNUMBER(H79)),F79*H79,"")</f>
        <v>104</v>
      </c>
      <c r="K79" s="13" t="n">
        <f aca="false">IF(AND(ISNUMBER(F79),ISNUMBER(I79)),F79*I79,"")</f>
        <v>74000</v>
      </c>
      <c r="L79" s="14"/>
    </row>
    <row r="80" customFormat="false" ht="15" hidden="false" customHeight="false" outlineLevel="0" collapsed="false">
      <c r="A80" s="5" t="n">
        <v>75</v>
      </c>
      <c r="B80" s="5" t="s">
        <v>118</v>
      </c>
      <c r="C80" s="6" t="s">
        <v>119</v>
      </c>
      <c r="D80" s="6" t="s">
        <v>120</v>
      </c>
      <c r="E80" s="6" t="s">
        <v>127</v>
      </c>
      <c r="F80" s="5" t="n">
        <v>5</v>
      </c>
      <c r="G80" s="5" t="s">
        <v>19</v>
      </c>
      <c r="H80" s="7" t="n">
        <v>38</v>
      </c>
      <c r="I80" s="8" t="n">
        <v>17750</v>
      </c>
      <c r="J80" s="7" t="n">
        <f aca="false">IF(AND(ISNUMBER(F80),ISNUMBER(H80)),F80*H80,"")</f>
        <v>190</v>
      </c>
      <c r="K80" s="8" t="n">
        <f aca="false">IF(AND(ISNUMBER(F80),ISNUMBER(I80)),F80*I80,"")</f>
        <v>88750</v>
      </c>
      <c r="L80" s="9"/>
    </row>
    <row r="81" customFormat="false" ht="15" hidden="false" customHeight="false" outlineLevel="0" collapsed="false">
      <c r="A81" s="10" t="n">
        <v>76</v>
      </c>
      <c r="B81" s="10" t="s">
        <v>118</v>
      </c>
      <c r="C81" s="11" t="s">
        <v>119</v>
      </c>
      <c r="D81" s="11" t="s">
        <v>120</v>
      </c>
      <c r="E81" s="11" t="s">
        <v>128</v>
      </c>
      <c r="F81" s="10" t="n">
        <v>4</v>
      </c>
      <c r="G81" s="10" t="s">
        <v>19</v>
      </c>
      <c r="H81" s="12" t="n">
        <v>113</v>
      </c>
      <c r="I81" s="13" t="n">
        <v>39500</v>
      </c>
      <c r="J81" s="12" t="n">
        <f aca="false">IF(AND(ISNUMBER(F81),ISNUMBER(H81)),F81*H81,"")</f>
        <v>452</v>
      </c>
      <c r="K81" s="13" t="n">
        <f aca="false">IF(AND(ISNUMBER(F81),ISNUMBER(I81)),F81*I81,"")</f>
        <v>158000</v>
      </c>
      <c r="L81" s="14"/>
    </row>
    <row r="82" customFormat="false" ht="15" hidden="false" customHeight="false" outlineLevel="0" collapsed="false">
      <c r="A82" s="5" t="n">
        <v>77</v>
      </c>
      <c r="B82" s="5" t="s">
        <v>118</v>
      </c>
      <c r="C82" s="6" t="s">
        <v>119</v>
      </c>
      <c r="D82" s="6" t="s">
        <v>120</v>
      </c>
      <c r="E82" s="6" t="s">
        <v>129</v>
      </c>
      <c r="F82" s="5" t="n">
        <v>9</v>
      </c>
      <c r="G82" s="5" t="s">
        <v>19</v>
      </c>
      <c r="H82" s="7" t="n">
        <v>24</v>
      </c>
      <c r="I82" s="8" t="n">
        <v>11250</v>
      </c>
      <c r="J82" s="7" t="n">
        <f aca="false">IF(AND(ISNUMBER(F82),ISNUMBER(H82)),F82*H82,"")</f>
        <v>216</v>
      </c>
      <c r="K82" s="8" t="n">
        <f aca="false">IF(AND(ISNUMBER(F82),ISNUMBER(I82)),F82*I82,"")</f>
        <v>101250</v>
      </c>
      <c r="L82" s="9" t="s">
        <v>130</v>
      </c>
    </row>
    <row r="83" customFormat="false" ht="15" hidden="false" customHeight="false" outlineLevel="0" collapsed="false">
      <c r="A83" s="10" t="n">
        <v>78</v>
      </c>
      <c r="B83" s="10" t="s">
        <v>118</v>
      </c>
      <c r="C83" s="11" t="s">
        <v>119</v>
      </c>
      <c r="D83" s="11" t="s">
        <v>120</v>
      </c>
      <c r="E83" s="11" t="s">
        <v>131</v>
      </c>
      <c r="F83" s="10" t="n">
        <v>14</v>
      </c>
      <c r="G83" s="10" t="s">
        <v>19</v>
      </c>
      <c r="H83" s="12" t="n">
        <v>6</v>
      </c>
      <c r="I83" s="13" t="n">
        <v>6000</v>
      </c>
      <c r="J83" s="12" t="n">
        <f aca="false">IF(AND(ISNUMBER(F83),ISNUMBER(H83)),F83*H83,"")</f>
        <v>84</v>
      </c>
      <c r="K83" s="13" t="n">
        <f aca="false">IF(AND(ISNUMBER(F83),ISNUMBER(I83)),F83*I83,"")</f>
        <v>84000</v>
      </c>
      <c r="L83" s="14"/>
    </row>
    <row r="84" customFormat="false" ht="15" hidden="false" customHeight="false" outlineLevel="0" collapsed="false">
      <c r="A84" s="5" t="n">
        <v>79</v>
      </c>
      <c r="B84" s="5" t="s">
        <v>118</v>
      </c>
      <c r="C84" s="6" t="s">
        <v>119</v>
      </c>
      <c r="D84" s="6" t="s">
        <v>120</v>
      </c>
      <c r="E84" s="6" t="s">
        <v>132</v>
      </c>
      <c r="F84" s="5" t="n">
        <v>2</v>
      </c>
      <c r="G84" s="5" t="s">
        <v>19</v>
      </c>
      <c r="H84" s="7"/>
      <c r="I84" s="8"/>
      <c r="J84" s="7" t="str">
        <f aca="false">IF(AND(ISNUMBER(F84),ISNUMBER(H84)),F84*H84,"")</f>
        <v/>
      </c>
      <c r="K84" s="8" t="str">
        <f aca="false">IF(AND(ISNUMBER(F84),ISNUMBER(I84)),F84*I84,"")</f>
        <v/>
      </c>
      <c r="L84" s="9" t="s">
        <v>37</v>
      </c>
    </row>
    <row r="85" customFormat="false" ht="15" hidden="false" customHeight="false" outlineLevel="0" collapsed="false">
      <c r="A85" s="10" t="n">
        <v>80</v>
      </c>
      <c r="B85" s="10" t="s">
        <v>118</v>
      </c>
      <c r="C85" s="11" t="s">
        <v>119</v>
      </c>
      <c r="D85" s="11" t="s">
        <v>120</v>
      </c>
      <c r="E85" s="11" t="s">
        <v>133</v>
      </c>
      <c r="F85" s="10" t="n">
        <v>2</v>
      </c>
      <c r="G85" s="10" t="s">
        <v>19</v>
      </c>
      <c r="H85" s="12" t="n">
        <v>20</v>
      </c>
      <c r="I85" s="13" t="n">
        <v>11500</v>
      </c>
      <c r="J85" s="12" t="n">
        <f aca="false">IF(AND(ISNUMBER(F85),ISNUMBER(H85)),F85*H85,"")</f>
        <v>40</v>
      </c>
      <c r="K85" s="13" t="n">
        <f aca="false">IF(AND(ISNUMBER(F85),ISNUMBER(I85)),F85*I85,"")</f>
        <v>23000</v>
      </c>
      <c r="L85" s="14"/>
    </row>
    <row r="86" customFormat="false" ht="15" hidden="false" customHeight="false" outlineLevel="0" collapsed="false">
      <c r="A86" s="5" t="n">
        <v>81</v>
      </c>
      <c r="B86" s="5" t="s">
        <v>118</v>
      </c>
      <c r="C86" s="6" t="s">
        <v>119</v>
      </c>
      <c r="D86" s="6" t="s">
        <v>134</v>
      </c>
      <c r="E86" s="6" t="s">
        <v>135</v>
      </c>
      <c r="F86" s="5" t="n">
        <v>1</v>
      </c>
      <c r="G86" s="5" t="s">
        <v>44</v>
      </c>
      <c r="H86" s="7"/>
      <c r="I86" s="8"/>
      <c r="J86" s="7" t="str">
        <f aca="false">IF(AND(ISNUMBER(F86),ISNUMBER(H86)),F86*H86,"")</f>
        <v/>
      </c>
      <c r="K86" s="8" t="str">
        <f aca="false">IF(AND(ISNUMBER(F86),ISNUMBER(I86)),F86*I86,"")</f>
        <v/>
      </c>
      <c r="L86" s="9" t="s">
        <v>37</v>
      </c>
    </row>
    <row r="87" customFormat="false" ht="15" hidden="false" customHeight="false" outlineLevel="0" collapsed="false">
      <c r="A87" s="10" t="n">
        <v>82</v>
      </c>
      <c r="B87" s="10" t="s">
        <v>118</v>
      </c>
      <c r="C87" s="11" t="s">
        <v>119</v>
      </c>
      <c r="D87" s="11" t="s">
        <v>120</v>
      </c>
      <c r="E87" s="11" t="s">
        <v>136</v>
      </c>
      <c r="F87" s="10" t="n">
        <v>1</v>
      </c>
      <c r="G87" s="10" t="s">
        <v>44</v>
      </c>
      <c r="H87" s="12"/>
      <c r="I87" s="13"/>
      <c r="J87" s="12" t="str">
        <f aca="false">IF(AND(ISNUMBER(F87),ISNUMBER(H87)),F87*H87,"")</f>
        <v/>
      </c>
      <c r="K87" s="13" t="str">
        <f aca="false">IF(AND(ISNUMBER(F87),ISNUMBER(I87)),F87*I87,"")</f>
        <v/>
      </c>
      <c r="L87" s="14" t="s">
        <v>137</v>
      </c>
    </row>
    <row r="88" customFormat="false" ht="15" hidden="false" customHeight="false" outlineLevel="0" collapsed="false">
      <c r="A88" s="5" t="n">
        <v>83</v>
      </c>
      <c r="B88" s="5" t="s">
        <v>118</v>
      </c>
      <c r="C88" s="6" t="s">
        <v>119</v>
      </c>
      <c r="D88" s="6" t="s">
        <v>120</v>
      </c>
      <c r="E88" s="6" t="s">
        <v>138</v>
      </c>
      <c r="F88" s="5" t="n">
        <v>1</v>
      </c>
      <c r="G88" s="5" t="s">
        <v>44</v>
      </c>
      <c r="H88" s="7" t="n">
        <v>58.5</v>
      </c>
      <c r="I88" s="8"/>
      <c r="J88" s="7" t="n">
        <f aca="false">IF(AND(ISNUMBER(F88),ISNUMBER(H88)),F88*H88,"")</f>
        <v>58.5</v>
      </c>
      <c r="K88" s="8" t="str">
        <f aca="false">IF(AND(ISNUMBER(F88),ISNUMBER(I88)),F88*I88,"")</f>
        <v/>
      </c>
      <c r="L88" s="9" t="s">
        <v>41</v>
      </c>
    </row>
    <row r="89" customFormat="false" ht="15" hidden="false" customHeight="false" outlineLevel="0" collapsed="false">
      <c r="A89" s="10" t="n">
        <v>84</v>
      </c>
      <c r="B89" s="10" t="s">
        <v>118</v>
      </c>
      <c r="C89" s="11" t="s">
        <v>119</v>
      </c>
      <c r="D89" s="11" t="s">
        <v>139</v>
      </c>
      <c r="E89" s="11" t="s">
        <v>140</v>
      </c>
      <c r="F89" s="10" t="n">
        <v>2</v>
      </c>
      <c r="G89" s="10" t="s">
        <v>19</v>
      </c>
      <c r="H89" s="12"/>
      <c r="I89" s="13"/>
      <c r="J89" s="12" t="str">
        <f aca="false">IF(AND(ISNUMBER(F89),ISNUMBER(H89)),F89*H89,"")</f>
        <v/>
      </c>
      <c r="K89" s="13" t="str">
        <f aca="false">IF(AND(ISNUMBER(F89),ISNUMBER(I89)),F89*I89,"")</f>
        <v/>
      </c>
      <c r="L89" s="14" t="s">
        <v>37</v>
      </c>
    </row>
    <row r="90" customFormat="false" ht="15" hidden="false" customHeight="false" outlineLevel="0" collapsed="false">
      <c r="A90" s="5" t="n">
        <v>85</v>
      </c>
      <c r="B90" s="5" t="s">
        <v>118</v>
      </c>
      <c r="C90" s="6" t="s">
        <v>119</v>
      </c>
      <c r="D90" s="6" t="s">
        <v>139</v>
      </c>
      <c r="E90" s="6" t="s">
        <v>141</v>
      </c>
      <c r="F90" s="5" t="n">
        <v>1</v>
      </c>
      <c r="G90" s="5" t="s">
        <v>44</v>
      </c>
      <c r="H90" s="7"/>
      <c r="I90" s="8"/>
      <c r="J90" s="7" t="str">
        <f aca="false">IF(AND(ISNUMBER(F90),ISNUMBER(H90)),F90*H90,"")</f>
        <v/>
      </c>
      <c r="K90" s="8" t="str">
        <f aca="false">IF(AND(ISNUMBER(F90),ISNUMBER(I90)),F90*I90,"")</f>
        <v/>
      </c>
      <c r="L90" s="9" t="s">
        <v>37</v>
      </c>
    </row>
    <row r="91" customFormat="false" ht="15" hidden="false" customHeight="false" outlineLevel="0" collapsed="false">
      <c r="A91" s="10" t="n">
        <v>86</v>
      </c>
      <c r="B91" s="10" t="s">
        <v>118</v>
      </c>
      <c r="C91" s="11" t="s">
        <v>119</v>
      </c>
      <c r="D91" s="11" t="s">
        <v>139</v>
      </c>
      <c r="E91" s="11" t="s">
        <v>142</v>
      </c>
      <c r="F91" s="10" t="n">
        <v>2</v>
      </c>
      <c r="G91" s="10" t="s">
        <v>19</v>
      </c>
      <c r="H91" s="12" t="n">
        <v>32</v>
      </c>
      <c r="I91" s="13"/>
      <c r="J91" s="12" t="n">
        <f aca="false">IF(AND(ISNUMBER(F91),ISNUMBER(H91)),F91*H91,"")</f>
        <v>64</v>
      </c>
      <c r="K91" s="13" t="str">
        <f aca="false">IF(AND(ISNUMBER(F91),ISNUMBER(I91)),F91*I91,"")</f>
        <v/>
      </c>
      <c r="L91" s="14" t="s">
        <v>41</v>
      </c>
    </row>
    <row r="92" customFormat="false" ht="15" hidden="false" customHeight="false" outlineLevel="0" collapsed="false">
      <c r="A92" s="5" t="n">
        <v>87</v>
      </c>
      <c r="B92" s="5" t="s">
        <v>118</v>
      </c>
      <c r="C92" s="6" t="s">
        <v>119</v>
      </c>
      <c r="D92" s="6" t="s">
        <v>120</v>
      </c>
      <c r="E92" s="6" t="s">
        <v>143</v>
      </c>
      <c r="F92" s="5"/>
      <c r="G92" s="5" t="s">
        <v>19</v>
      </c>
      <c r="H92" s="7"/>
      <c r="I92" s="8"/>
      <c r="J92" s="7" t="str">
        <f aca="false">IF(AND(ISNUMBER(F92),ISNUMBER(H92)),F92*H92,"")</f>
        <v/>
      </c>
      <c r="K92" s="8" t="str">
        <f aca="false">IF(AND(ISNUMBER(F92),ISNUMBER(I92)),F92*I92,"")</f>
        <v/>
      </c>
      <c r="L92" s="9" t="s">
        <v>144</v>
      </c>
    </row>
    <row r="93" customFormat="false" ht="15" hidden="false" customHeight="false" outlineLevel="0" collapsed="false">
      <c r="A93" s="10" t="n">
        <v>88</v>
      </c>
      <c r="B93" s="10" t="s">
        <v>145</v>
      </c>
      <c r="C93" s="11" t="s">
        <v>146</v>
      </c>
      <c r="D93" s="11" t="s">
        <v>147</v>
      </c>
      <c r="E93" s="11" t="s">
        <v>148</v>
      </c>
      <c r="F93" s="10" t="n">
        <v>31</v>
      </c>
      <c r="G93" s="10" t="s">
        <v>19</v>
      </c>
      <c r="H93" s="12" t="n">
        <v>3</v>
      </c>
      <c r="I93" s="13" t="n">
        <v>2350</v>
      </c>
      <c r="J93" s="12" t="n">
        <f aca="false">IF(AND(ISNUMBER(F93),ISNUMBER(H93)),F93*H93,"")</f>
        <v>93</v>
      </c>
      <c r="K93" s="13" t="n">
        <f aca="false">IF(AND(ISNUMBER(F93),ISNUMBER(I93)),F93*I93,"")</f>
        <v>72850</v>
      </c>
      <c r="L93" s="14" t="s">
        <v>149</v>
      </c>
    </row>
    <row r="94" customFormat="false" ht="15" hidden="false" customHeight="false" outlineLevel="0" collapsed="false">
      <c r="A94" s="5" t="n">
        <v>89</v>
      </c>
      <c r="B94" s="5" t="s">
        <v>145</v>
      </c>
      <c r="C94" s="6" t="s">
        <v>146</v>
      </c>
      <c r="D94" s="6" t="s">
        <v>150</v>
      </c>
      <c r="E94" s="6" t="s">
        <v>151</v>
      </c>
      <c r="F94" s="5" t="n">
        <v>20</v>
      </c>
      <c r="G94" s="5" t="s">
        <v>19</v>
      </c>
      <c r="H94" s="7" t="n">
        <v>3</v>
      </c>
      <c r="I94" s="8" t="n">
        <v>2350</v>
      </c>
      <c r="J94" s="7" t="n">
        <f aca="false">IF(AND(ISNUMBER(F94),ISNUMBER(H94)),F94*H94,"")</f>
        <v>60</v>
      </c>
      <c r="K94" s="8" t="n">
        <f aca="false">IF(AND(ISNUMBER(F94),ISNUMBER(I94)),F94*I94,"")</f>
        <v>47000</v>
      </c>
      <c r="L94" s="9"/>
    </row>
    <row r="95" customFormat="false" ht="15" hidden="false" customHeight="false" outlineLevel="0" collapsed="false">
      <c r="A95" s="10" t="n">
        <v>90</v>
      </c>
      <c r="B95" s="10" t="s">
        <v>145</v>
      </c>
      <c r="C95" s="11" t="s">
        <v>146</v>
      </c>
      <c r="D95" s="11" t="s">
        <v>152</v>
      </c>
      <c r="E95" s="11" t="s">
        <v>153</v>
      </c>
      <c r="F95" s="10" t="n">
        <v>29</v>
      </c>
      <c r="G95" s="10" t="s">
        <v>19</v>
      </c>
      <c r="H95" s="12" t="n">
        <v>2</v>
      </c>
      <c r="I95" s="13" t="n">
        <v>1750</v>
      </c>
      <c r="J95" s="12" t="n">
        <f aca="false">IF(AND(ISNUMBER(F95),ISNUMBER(H95)),F95*H95,"")</f>
        <v>58</v>
      </c>
      <c r="K95" s="13" t="n">
        <f aca="false">IF(AND(ISNUMBER(F95),ISNUMBER(I95)),F95*I95,"")</f>
        <v>50750</v>
      </c>
      <c r="L95" s="14"/>
    </row>
    <row r="96" customFormat="false" ht="15" hidden="false" customHeight="false" outlineLevel="0" collapsed="false">
      <c r="A96" s="5" t="n">
        <v>91</v>
      </c>
      <c r="B96" s="5" t="s">
        <v>145</v>
      </c>
      <c r="C96" s="6" t="s">
        <v>146</v>
      </c>
      <c r="D96" s="6" t="s">
        <v>154</v>
      </c>
      <c r="E96" s="6"/>
      <c r="F96" s="5" t="n">
        <v>60</v>
      </c>
      <c r="G96" s="5" t="s">
        <v>19</v>
      </c>
      <c r="H96" s="7" t="n">
        <v>2</v>
      </c>
      <c r="I96" s="8" t="n">
        <v>1850</v>
      </c>
      <c r="J96" s="7" t="n">
        <f aca="false">IF(AND(ISNUMBER(F96),ISNUMBER(H96)),F96*H96,"")</f>
        <v>120</v>
      </c>
      <c r="K96" s="8" t="n">
        <f aca="false">IF(AND(ISNUMBER(F96),ISNUMBER(I96)),F96*I96,"")</f>
        <v>111000</v>
      </c>
      <c r="L96" s="9"/>
    </row>
    <row r="97" customFormat="false" ht="15" hidden="false" customHeight="false" outlineLevel="0" collapsed="false">
      <c r="A97" s="10" t="n">
        <v>92</v>
      </c>
      <c r="B97" s="10" t="s">
        <v>145</v>
      </c>
      <c r="C97" s="11" t="s">
        <v>146</v>
      </c>
      <c r="D97" s="11" t="s">
        <v>155</v>
      </c>
      <c r="E97" s="11"/>
      <c r="F97" s="10" t="n">
        <v>10</v>
      </c>
      <c r="G97" s="10" t="s">
        <v>19</v>
      </c>
      <c r="H97" s="12" t="n">
        <v>2</v>
      </c>
      <c r="I97" s="13" t="n">
        <v>1650</v>
      </c>
      <c r="J97" s="12" t="n">
        <f aca="false">IF(AND(ISNUMBER(F97),ISNUMBER(H97)),F97*H97,"")</f>
        <v>20</v>
      </c>
      <c r="K97" s="13" t="n">
        <f aca="false">IF(AND(ISNUMBER(F97),ISNUMBER(I97)),F97*I97,"")</f>
        <v>16500</v>
      </c>
      <c r="L97" s="14"/>
    </row>
    <row r="98" customFormat="false" ht="15" hidden="false" customHeight="false" outlineLevel="0" collapsed="false">
      <c r="A98" s="5" t="n">
        <v>93</v>
      </c>
      <c r="B98" s="5" t="s">
        <v>145</v>
      </c>
      <c r="C98" s="6" t="s">
        <v>146</v>
      </c>
      <c r="D98" s="6" t="s">
        <v>156</v>
      </c>
      <c r="E98" s="6"/>
      <c r="F98" s="5" t="n">
        <v>20</v>
      </c>
      <c r="G98" s="5" t="s">
        <v>19</v>
      </c>
      <c r="H98" s="7" t="n">
        <v>2</v>
      </c>
      <c r="I98" s="8" t="n">
        <v>1650</v>
      </c>
      <c r="J98" s="7" t="n">
        <f aca="false">IF(AND(ISNUMBER(F98),ISNUMBER(H98)),F98*H98,"")</f>
        <v>40</v>
      </c>
      <c r="K98" s="8" t="n">
        <f aca="false">IF(AND(ISNUMBER(F98),ISNUMBER(I98)),F98*I98,"")</f>
        <v>33000</v>
      </c>
      <c r="L98" s="9"/>
    </row>
    <row r="99" customFormat="false" ht="15" hidden="false" customHeight="false" outlineLevel="0" collapsed="false">
      <c r="A99" s="10" t="n">
        <v>94</v>
      </c>
      <c r="B99" s="10" t="s">
        <v>145</v>
      </c>
      <c r="C99" s="11" t="s">
        <v>146</v>
      </c>
      <c r="D99" s="11" t="s">
        <v>157</v>
      </c>
      <c r="E99" s="11"/>
      <c r="F99" s="10" t="n">
        <v>64</v>
      </c>
      <c r="G99" s="10" t="s">
        <v>19</v>
      </c>
      <c r="H99" s="12" t="n">
        <v>2</v>
      </c>
      <c r="I99" s="13" t="n">
        <v>1650</v>
      </c>
      <c r="J99" s="12" t="n">
        <f aca="false">IF(AND(ISNUMBER(F99),ISNUMBER(H99)),F99*H99,"")</f>
        <v>128</v>
      </c>
      <c r="K99" s="13" t="n">
        <f aca="false">IF(AND(ISNUMBER(F99),ISNUMBER(I99)),F99*I99,"")</f>
        <v>105600</v>
      </c>
      <c r="L99" s="14"/>
    </row>
    <row r="100" customFormat="false" ht="15" hidden="false" customHeight="false" outlineLevel="0" collapsed="false">
      <c r="A100" s="5" t="n">
        <v>95</v>
      </c>
      <c r="B100" s="5" t="s">
        <v>145</v>
      </c>
      <c r="C100" s="6" t="s">
        <v>146</v>
      </c>
      <c r="D100" s="6" t="s">
        <v>158</v>
      </c>
      <c r="E100" s="6" t="s">
        <v>159</v>
      </c>
      <c r="F100" s="5" t="n">
        <v>28</v>
      </c>
      <c r="G100" s="5" t="s">
        <v>19</v>
      </c>
      <c r="H100" s="7" t="n">
        <v>3.5</v>
      </c>
      <c r="I100" s="8" t="n">
        <v>2350</v>
      </c>
      <c r="J100" s="7" t="n">
        <f aca="false">IF(AND(ISNUMBER(F100),ISNUMBER(H100)),F100*H100,"")</f>
        <v>98</v>
      </c>
      <c r="K100" s="8" t="n">
        <f aca="false">IF(AND(ISNUMBER(F100),ISNUMBER(I100)),F100*I100,"")</f>
        <v>65800</v>
      </c>
      <c r="L100" s="9"/>
    </row>
    <row r="101" customFormat="false" ht="15" hidden="false" customHeight="false" outlineLevel="0" collapsed="false">
      <c r="A101" s="10" t="n">
        <v>96</v>
      </c>
      <c r="B101" s="10" t="s">
        <v>145</v>
      </c>
      <c r="C101" s="11" t="s">
        <v>146</v>
      </c>
      <c r="D101" s="11" t="s">
        <v>160</v>
      </c>
      <c r="E101" s="11"/>
      <c r="F101" s="10" t="n">
        <v>10</v>
      </c>
      <c r="G101" s="10" t="s">
        <v>19</v>
      </c>
      <c r="H101" s="12" t="n">
        <v>5</v>
      </c>
      <c r="I101" s="13" t="n">
        <v>2300</v>
      </c>
      <c r="J101" s="12" t="n">
        <f aca="false">IF(AND(ISNUMBER(F101),ISNUMBER(H101)),F101*H101,"")</f>
        <v>50</v>
      </c>
      <c r="K101" s="13" t="n">
        <f aca="false">IF(AND(ISNUMBER(F101),ISNUMBER(I101)),F101*I101,"")</f>
        <v>23000</v>
      </c>
      <c r="L101" s="14"/>
    </row>
    <row r="102" customFormat="false" ht="15" hidden="false" customHeight="false" outlineLevel="0" collapsed="false">
      <c r="A102" s="5" t="n">
        <v>97</v>
      </c>
      <c r="B102" s="5" t="s">
        <v>145</v>
      </c>
      <c r="C102" s="6" t="s">
        <v>146</v>
      </c>
      <c r="D102" s="6" t="s">
        <v>161</v>
      </c>
      <c r="E102" s="6"/>
      <c r="F102" s="5" t="n">
        <v>10</v>
      </c>
      <c r="G102" s="5" t="s">
        <v>19</v>
      </c>
      <c r="H102" s="7" t="n">
        <v>5</v>
      </c>
      <c r="I102" s="8" t="n">
        <v>2300</v>
      </c>
      <c r="J102" s="7" t="n">
        <f aca="false">IF(AND(ISNUMBER(F102),ISNUMBER(H102)),F102*H102,"")</f>
        <v>50</v>
      </c>
      <c r="K102" s="8" t="n">
        <f aca="false">IF(AND(ISNUMBER(F102),ISNUMBER(I102)),F102*I102,"")</f>
        <v>23000</v>
      </c>
      <c r="L102" s="9"/>
    </row>
    <row r="103" customFormat="false" ht="15" hidden="false" customHeight="false" outlineLevel="0" collapsed="false">
      <c r="A103" s="10" t="n">
        <v>98</v>
      </c>
      <c r="B103" s="10" t="s">
        <v>145</v>
      </c>
      <c r="C103" s="11" t="s">
        <v>146</v>
      </c>
      <c r="D103" s="11" t="s">
        <v>162</v>
      </c>
      <c r="E103" s="11" t="s">
        <v>163</v>
      </c>
      <c r="F103" s="10" t="n">
        <v>20</v>
      </c>
      <c r="G103" s="10" t="s">
        <v>19</v>
      </c>
      <c r="H103" s="12" t="n">
        <v>4</v>
      </c>
      <c r="I103" s="13" t="n">
        <v>2650</v>
      </c>
      <c r="J103" s="12" t="n">
        <f aca="false">IF(AND(ISNUMBER(F103),ISNUMBER(H103)),F103*H103,"")</f>
        <v>80</v>
      </c>
      <c r="K103" s="13" t="n">
        <f aca="false">IF(AND(ISNUMBER(F103),ISNUMBER(I103)),F103*I103,"")</f>
        <v>53000</v>
      </c>
      <c r="L103" s="14"/>
    </row>
    <row r="104" customFormat="false" ht="15" hidden="false" customHeight="false" outlineLevel="0" collapsed="false">
      <c r="A104" s="5" t="n">
        <v>99</v>
      </c>
      <c r="B104" s="5" t="s">
        <v>145</v>
      </c>
      <c r="C104" s="6" t="s">
        <v>146</v>
      </c>
      <c r="D104" s="6" t="s">
        <v>164</v>
      </c>
      <c r="E104" s="6"/>
      <c r="F104" s="5" t="n">
        <v>15</v>
      </c>
      <c r="G104" s="5" t="s">
        <v>19</v>
      </c>
      <c r="H104" s="7" t="n">
        <v>3</v>
      </c>
      <c r="I104" s="8" t="n">
        <v>1780</v>
      </c>
      <c r="J104" s="7" t="n">
        <f aca="false">IF(AND(ISNUMBER(F104),ISNUMBER(H104)),F104*H104,"")</f>
        <v>45</v>
      </c>
      <c r="K104" s="8" t="n">
        <f aca="false">IF(AND(ISNUMBER(F104),ISNUMBER(I104)),F104*I104,"")</f>
        <v>26700</v>
      </c>
      <c r="L104" s="9"/>
    </row>
    <row r="105" customFormat="false" ht="15" hidden="false" customHeight="false" outlineLevel="0" collapsed="false">
      <c r="A105" s="10" t="n">
        <v>100</v>
      </c>
      <c r="B105" s="10" t="s">
        <v>145</v>
      </c>
      <c r="C105" s="11" t="s">
        <v>146</v>
      </c>
      <c r="D105" s="11" t="s">
        <v>165</v>
      </c>
      <c r="E105" s="11"/>
      <c r="F105" s="10" t="n">
        <v>91</v>
      </c>
      <c r="G105" s="10" t="s">
        <v>19</v>
      </c>
      <c r="H105" s="12" t="n">
        <v>2</v>
      </c>
      <c r="I105" s="13" t="n">
        <v>1750</v>
      </c>
      <c r="J105" s="12" t="n">
        <f aca="false">IF(AND(ISNUMBER(F105),ISNUMBER(H105)),F105*H105,"")</f>
        <v>182</v>
      </c>
      <c r="K105" s="13" t="n">
        <f aca="false">IF(AND(ISNUMBER(F105),ISNUMBER(I105)),F105*I105,"")</f>
        <v>159250</v>
      </c>
      <c r="L105" s="14"/>
    </row>
    <row r="106" customFormat="false" ht="15" hidden="false" customHeight="false" outlineLevel="0" collapsed="false">
      <c r="A106" s="5" t="n">
        <v>101</v>
      </c>
      <c r="B106" s="5" t="s">
        <v>145</v>
      </c>
      <c r="C106" s="6" t="s">
        <v>146</v>
      </c>
      <c r="D106" s="6" t="s">
        <v>166</v>
      </c>
      <c r="E106" s="6"/>
      <c r="F106" s="5" t="n">
        <v>24</v>
      </c>
      <c r="G106" s="5" t="s">
        <v>19</v>
      </c>
      <c r="H106" s="7" t="n">
        <v>2</v>
      </c>
      <c r="I106" s="8" t="n">
        <v>1650</v>
      </c>
      <c r="J106" s="7" t="n">
        <f aca="false">IF(AND(ISNUMBER(F106),ISNUMBER(H106)),F106*H106,"")</f>
        <v>48</v>
      </c>
      <c r="K106" s="8" t="n">
        <f aca="false">IF(AND(ISNUMBER(F106),ISNUMBER(I106)),F106*I106,"")</f>
        <v>39600</v>
      </c>
      <c r="L106" s="9"/>
    </row>
    <row r="107" customFormat="false" ht="15" hidden="false" customHeight="false" outlineLevel="0" collapsed="false">
      <c r="A107" s="10" t="n">
        <v>102</v>
      </c>
      <c r="B107" s="10" t="s">
        <v>145</v>
      </c>
      <c r="C107" s="11" t="s">
        <v>146</v>
      </c>
      <c r="D107" s="11" t="s">
        <v>167</v>
      </c>
      <c r="E107" s="11" t="s">
        <v>168</v>
      </c>
      <c r="F107" s="10" t="n">
        <v>70</v>
      </c>
      <c r="G107" s="10" t="s">
        <v>19</v>
      </c>
      <c r="H107" s="12" t="n">
        <v>2</v>
      </c>
      <c r="I107" s="13" t="n">
        <v>3250</v>
      </c>
      <c r="J107" s="12" t="n">
        <f aca="false">IF(AND(ISNUMBER(F107),ISNUMBER(H107)),F107*H107,"")</f>
        <v>140</v>
      </c>
      <c r="K107" s="13" t="n">
        <f aca="false">IF(AND(ISNUMBER(F107),ISNUMBER(I107)),F107*I107,"")</f>
        <v>227500</v>
      </c>
      <c r="L107" s="14"/>
    </row>
    <row r="108" customFormat="false" ht="15" hidden="false" customHeight="false" outlineLevel="0" collapsed="false">
      <c r="A108" s="5" t="n">
        <v>103</v>
      </c>
      <c r="B108" s="5" t="s">
        <v>145</v>
      </c>
      <c r="C108" s="6" t="s">
        <v>146</v>
      </c>
      <c r="D108" s="6" t="s">
        <v>169</v>
      </c>
      <c r="E108" s="6"/>
      <c r="F108" s="5" t="n">
        <v>34</v>
      </c>
      <c r="G108" s="5" t="s">
        <v>19</v>
      </c>
      <c r="H108" s="7" t="n">
        <v>2</v>
      </c>
      <c r="I108" s="8" t="n">
        <v>3150</v>
      </c>
      <c r="J108" s="7" t="n">
        <f aca="false">IF(AND(ISNUMBER(F108),ISNUMBER(H108)),F108*H108,"")</f>
        <v>68</v>
      </c>
      <c r="K108" s="8" t="n">
        <f aca="false">IF(AND(ISNUMBER(F108),ISNUMBER(I108)),F108*I108,"")</f>
        <v>107100</v>
      </c>
      <c r="L108" s="9"/>
    </row>
    <row r="109" customFormat="false" ht="15" hidden="false" customHeight="false" outlineLevel="0" collapsed="false">
      <c r="A109" s="10" t="n">
        <v>104</v>
      </c>
      <c r="B109" s="10" t="s">
        <v>145</v>
      </c>
      <c r="C109" s="11" t="s">
        <v>146</v>
      </c>
      <c r="D109" s="11" t="s">
        <v>164</v>
      </c>
      <c r="E109" s="11"/>
      <c r="F109" s="10" t="n">
        <v>5</v>
      </c>
      <c r="G109" s="10" t="s">
        <v>19</v>
      </c>
      <c r="H109" s="12" t="n">
        <v>3</v>
      </c>
      <c r="I109" s="13" t="n">
        <v>2250</v>
      </c>
      <c r="J109" s="12" t="n">
        <f aca="false">IF(AND(ISNUMBER(F109),ISNUMBER(H109)),F109*H109,"")</f>
        <v>15</v>
      </c>
      <c r="K109" s="13" t="n">
        <f aca="false">IF(AND(ISNUMBER(F109),ISNUMBER(I109)),F109*I109,"")</f>
        <v>11250</v>
      </c>
      <c r="L109" s="14"/>
    </row>
    <row r="110" customFormat="false" ht="15" hidden="false" customHeight="false" outlineLevel="0" collapsed="false">
      <c r="A110" s="5" t="n">
        <v>105</v>
      </c>
      <c r="B110" s="5" t="s">
        <v>145</v>
      </c>
      <c r="C110" s="6" t="s">
        <v>146</v>
      </c>
      <c r="D110" s="6" t="s">
        <v>170</v>
      </c>
      <c r="E110" s="6"/>
      <c r="F110" s="5" t="n">
        <v>20</v>
      </c>
      <c r="G110" s="5" t="s">
        <v>19</v>
      </c>
      <c r="H110" s="7" t="n">
        <v>3</v>
      </c>
      <c r="I110" s="8" t="n">
        <v>2950</v>
      </c>
      <c r="J110" s="7" t="n">
        <f aca="false">IF(AND(ISNUMBER(F110),ISNUMBER(H110)),F110*H110,"")</f>
        <v>60</v>
      </c>
      <c r="K110" s="8" t="n">
        <f aca="false">IF(AND(ISNUMBER(F110),ISNUMBER(I110)),F110*I110,"")</f>
        <v>59000</v>
      </c>
      <c r="L110" s="9"/>
    </row>
    <row r="111" customFormat="false" ht="15" hidden="false" customHeight="false" outlineLevel="0" collapsed="false">
      <c r="A111" s="10" t="n">
        <v>106</v>
      </c>
      <c r="B111" s="10" t="s">
        <v>145</v>
      </c>
      <c r="C111" s="11" t="s">
        <v>146</v>
      </c>
      <c r="D111" s="11" t="s">
        <v>171</v>
      </c>
      <c r="E111" s="11" t="s">
        <v>172</v>
      </c>
      <c r="F111" s="10" t="n">
        <v>21</v>
      </c>
      <c r="G111" s="10" t="s">
        <v>19</v>
      </c>
      <c r="H111" s="12" t="n">
        <v>2</v>
      </c>
      <c r="I111" s="13" t="n">
        <v>1500</v>
      </c>
      <c r="J111" s="12" t="n">
        <f aca="false">IF(AND(ISNUMBER(F111),ISNUMBER(H111)),F111*H111,"")</f>
        <v>42</v>
      </c>
      <c r="K111" s="13" t="n">
        <f aca="false">IF(AND(ISNUMBER(F111),ISNUMBER(I111)),F111*I111,"")</f>
        <v>31500</v>
      </c>
      <c r="L111" s="14" t="s">
        <v>173</v>
      </c>
    </row>
    <row r="112" customFormat="false" ht="15" hidden="false" customHeight="false" outlineLevel="0" collapsed="false">
      <c r="A112" s="5" t="n">
        <v>107</v>
      </c>
      <c r="B112" s="5" t="s">
        <v>145</v>
      </c>
      <c r="C112" s="6" t="s">
        <v>146</v>
      </c>
      <c r="D112" s="6" t="s">
        <v>174</v>
      </c>
      <c r="E112" s="6" t="s">
        <v>175</v>
      </c>
      <c r="F112" s="5" t="n">
        <v>4</v>
      </c>
      <c r="G112" s="5" t="s">
        <v>19</v>
      </c>
      <c r="H112" s="7" t="n">
        <v>0.5</v>
      </c>
      <c r="I112" s="8" t="n">
        <v>800</v>
      </c>
      <c r="J112" s="7" t="n">
        <f aca="false">IF(AND(ISNUMBER(F112),ISNUMBER(H112)),F112*H112,"")</f>
        <v>2</v>
      </c>
      <c r="K112" s="8" t="n">
        <f aca="false">IF(AND(ISNUMBER(F112),ISNUMBER(I112)),F112*I112,"")</f>
        <v>3200</v>
      </c>
      <c r="L112" s="9"/>
    </row>
    <row r="113" customFormat="false" ht="15" hidden="false" customHeight="false" outlineLevel="0" collapsed="false">
      <c r="A113" s="10" t="n">
        <v>108</v>
      </c>
      <c r="B113" s="10" t="s">
        <v>145</v>
      </c>
      <c r="C113" s="11" t="s">
        <v>146</v>
      </c>
      <c r="D113" s="11" t="s">
        <v>171</v>
      </c>
      <c r="E113" s="11" t="s">
        <v>176</v>
      </c>
      <c r="F113" s="10" t="n">
        <v>5</v>
      </c>
      <c r="G113" s="10" t="s">
        <v>19</v>
      </c>
      <c r="H113" s="12" t="n">
        <v>1</v>
      </c>
      <c r="I113" s="13" t="n">
        <v>950</v>
      </c>
      <c r="J113" s="12" t="n">
        <f aca="false">IF(AND(ISNUMBER(F113),ISNUMBER(H113)),F113*H113,"")</f>
        <v>5</v>
      </c>
      <c r="K113" s="13" t="n">
        <f aca="false">IF(AND(ISNUMBER(F113),ISNUMBER(I113)),F113*I113,"")</f>
        <v>4750</v>
      </c>
      <c r="L113" s="14"/>
    </row>
    <row r="114" customFormat="false" ht="15" hidden="false" customHeight="false" outlineLevel="0" collapsed="false">
      <c r="A114" s="5" t="n">
        <v>109</v>
      </c>
      <c r="B114" s="5" t="s">
        <v>145</v>
      </c>
      <c r="C114" s="6" t="s">
        <v>146</v>
      </c>
      <c r="D114" s="6" t="s">
        <v>177</v>
      </c>
      <c r="E114" s="6" t="s">
        <v>178</v>
      </c>
      <c r="F114" s="5" t="n">
        <v>7</v>
      </c>
      <c r="G114" s="5" t="s">
        <v>19</v>
      </c>
      <c r="H114" s="7" t="n">
        <v>4</v>
      </c>
      <c r="I114" s="8" t="n">
        <v>5850</v>
      </c>
      <c r="J114" s="7" t="n">
        <f aca="false">IF(AND(ISNUMBER(F114),ISNUMBER(H114)),F114*H114,"")</f>
        <v>28</v>
      </c>
      <c r="K114" s="8" t="n">
        <f aca="false">IF(AND(ISNUMBER(F114),ISNUMBER(I114)),F114*I114,"")</f>
        <v>40950</v>
      </c>
      <c r="L114" s="9"/>
    </row>
    <row r="115" customFormat="false" ht="15" hidden="false" customHeight="false" outlineLevel="0" collapsed="false">
      <c r="A115" s="10" t="n">
        <v>110</v>
      </c>
      <c r="B115" s="10" t="s">
        <v>145</v>
      </c>
      <c r="C115" s="11" t="s">
        <v>146</v>
      </c>
      <c r="D115" s="11" t="s">
        <v>179</v>
      </c>
      <c r="E115" s="11" t="s">
        <v>180</v>
      </c>
      <c r="F115" s="10" t="n">
        <v>10</v>
      </c>
      <c r="G115" s="10" t="s">
        <v>19</v>
      </c>
      <c r="H115" s="12" t="n">
        <v>4</v>
      </c>
      <c r="I115" s="13" t="n">
        <v>3500</v>
      </c>
      <c r="J115" s="12" t="n">
        <f aca="false">IF(AND(ISNUMBER(F115),ISNUMBER(H115)),F115*H115,"")</f>
        <v>40</v>
      </c>
      <c r="K115" s="13" t="n">
        <f aca="false">IF(AND(ISNUMBER(F115),ISNUMBER(I115)),F115*I115,"")</f>
        <v>35000</v>
      </c>
      <c r="L115" s="14"/>
    </row>
    <row r="116" customFormat="false" ht="15" hidden="false" customHeight="false" outlineLevel="0" collapsed="false">
      <c r="A116" s="5" t="n">
        <v>111</v>
      </c>
      <c r="B116" s="5" t="s">
        <v>145</v>
      </c>
      <c r="C116" s="6" t="s">
        <v>146</v>
      </c>
      <c r="D116" s="6" t="s">
        <v>181</v>
      </c>
      <c r="E116" s="6" t="s">
        <v>182</v>
      </c>
      <c r="F116" s="5" t="n">
        <v>2</v>
      </c>
      <c r="G116" s="5" t="s">
        <v>19</v>
      </c>
      <c r="H116" s="7" t="n">
        <v>20</v>
      </c>
      <c r="I116" s="8"/>
      <c r="J116" s="7" t="n">
        <f aca="false">IF(AND(ISNUMBER(F116),ISNUMBER(H116)),F116*H116,"")</f>
        <v>40</v>
      </c>
      <c r="K116" s="8" t="str">
        <f aca="false">IF(AND(ISNUMBER(F116),ISNUMBER(I116)),F116*I116,"")</f>
        <v/>
      </c>
      <c r="L116" s="9" t="s">
        <v>41</v>
      </c>
    </row>
    <row r="117" customFormat="false" ht="15" hidden="false" customHeight="false" outlineLevel="0" collapsed="false">
      <c r="A117" s="10" t="n">
        <v>112</v>
      </c>
      <c r="B117" s="10" t="s">
        <v>145</v>
      </c>
      <c r="C117" s="11" t="s">
        <v>146</v>
      </c>
      <c r="D117" s="11" t="s">
        <v>183</v>
      </c>
      <c r="E117" s="11"/>
      <c r="F117" s="10" t="n">
        <v>100</v>
      </c>
      <c r="G117" s="10" t="s">
        <v>19</v>
      </c>
      <c r="H117" s="12" t="n">
        <v>0.65</v>
      </c>
      <c r="I117" s="13" t="n">
        <v>380</v>
      </c>
      <c r="J117" s="12" t="n">
        <f aca="false">IF(AND(ISNUMBER(F117),ISNUMBER(H117)),F117*H117,"")</f>
        <v>65</v>
      </c>
      <c r="K117" s="13" t="n">
        <f aca="false">IF(AND(ISNUMBER(F117),ISNUMBER(I117)),F117*I117,"")</f>
        <v>38000</v>
      </c>
      <c r="L117" s="14"/>
    </row>
    <row r="118" customFormat="false" ht="15" hidden="false" customHeight="false" outlineLevel="0" collapsed="false">
      <c r="A118" s="5" t="n">
        <v>113</v>
      </c>
      <c r="B118" s="5" t="s">
        <v>145</v>
      </c>
      <c r="C118" s="6" t="s">
        <v>146</v>
      </c>
      <c r="D118" s="6" t="s">
        <v>184</v>
      </c>
      <c r="E118" s="6" t="s">
        <v>185</v>
      </c>
      <c r="F118" s="5" t="n">
        <v>100</v>
      </c>
      <c r="G118" s="5" t="s">
        <v>19</v>
      </c>
      <c r="H118" s="7" t="n">
        <v>3.5</v>
      </c>
      <c r="I118" s="8" t="n">
        <v>2350</v>
      </c>
      <c r="J118" s="7" t="n">
        <f aca="false">IF(AND(ISNUMBER(F118),ISNUMBER(H118)),F118*H118,"")</f>
        <v>350</v>
      </c>
      <c r="K118" s="8" t="n">
        <f aca="false">IF(AND(ISNUMBER(F118),ISNUMBER(I118)),F118*I118,"")</f>
        <v>235000</v>
      </c>
      <c r="L118" s="9"/>
    </row>
    <row r="119" customFormat="false" ht="15" hidden="false" customHeight="false" outlineLevel="0" collapsed="false">
      <c r="A119" s="10" t="n">
        <v>114</v>
      </c>
      <c r="B119" s="10" t="s">
        <v>145</v>
      </c>
      <c r="C119" s="11" t="s">
        <v>146</v>
      </c>
      <c r="D119" s="11" t="s">
        <v>186</v>
      </c>
      <c r="E119" s="11"/>
      <c r="F119" s="10" t="n">
        <v>10</v>
      </c>
      <c r="G119" s="10" t="s">
        <v>19</v>
      </c>
      <c r="H119" s="12" t="n">
        <v>2</v>
      </c>
      <c r="I119" s="13" t="n">
        <v>1250</v>
      </c>
      <c r="J119" s="12" t="n">
        <f aca="false">IF(AND(ISNUMBER(F119),ISNUMBER(H119)),F119*H119,"")</f>
        <v>20</v>
      </c>
      <c r="K119" s="13" t="n">
        <f aca="false">IF(AND(ISNUMBER(F119),ISNUMBER(I119)),F119*I119,"")</f>
        <v>12500</v>
      </c>
      <c r="L119" s="14"/>
    </row>
    <row r="120" customFormat="false" ht="15" hidden="false" customHeight="false" outlineLevel="0" collapsed="false">
      <c r="A120" s="5" t="n">
        <v>115</v>
      </c>
      <c r="B120" s="5" t="s">
        <v>145</v>
      </c>
      <c r="C120" s="6" t="s">
        <v>146</v>
      </c>
      <c r="D120" s="6" t="s">
        <v>187</v>
      </c>
      <c r="E120" s="6" t="s">
        <v>188</v>
      </c>
      <c r="F120" s="5" t="n">
        <v>100</v>
      </c>
      <c r="G120" s="5" t="s">
        <v>19</v>
      </c>
      <c r="H120" s="7"/>
      <c r="I120" s="8"/>
      <c r="J120" s="7" t="str">
        <f aca="false">IF(AND(ISNUMBER(F120),ISNUMBER(H120)),F120*H120,"")</f>
        <v/>
      </c>
      <c r="K120" s="8" t="str">
        <f aca="false">IF(AND(ISNUMBER(F120),ISNUMBER(I120)),F120*I120,"")</f>
        <v/>
      </c>
      <c r="L120" s="9" t="s">
        <v>37</v>
      </c>
    </row>
    <row r="121" customFormat="false" ht="15" hidden="false" customHeight="false" outlineLevel="0" collapsed="false">
      <c r="A121" s="10" t="n">
        <v>116</v>
      </c>
      <c r="B121" s="10" t="s">
        <v>189</v>
      </c>
      <c r="C121" s="11" t="s">
        <v>190</v>
      </c>
      <c r="D121" s="11" t="s">
        <v>191</v>
      </c>
      <c r="E121" s="11" t="s">
        <v>192</v>
      </c>
      <c r="F121" s="10" t="n">
        <v>6</v>
      </c>
      <c r="G121" s="10" t="s">
        <v>19</v>
      </c>
      <c r="H121" s="12" t="n">
        <v>1.2</v>
      </c>
      <c r="I121" s="13" t="n">
        <v>1750</v>
      </c>
      <c r="J121" s="12" t="n">
        <f aca="false">IF(AND(ISNUMBER(F121),ISNUMBER(H121)),F121*H121,"")</f>
        <v>7.2</v>
      </c>
      <c r="K121" s="13" t="n">
        <f aca="false">IF(AND(ISNUMBER(F121),ISNUMBER(I121)),F121*I121,"")</f>
        <v>10500</v>
      </c>
      <c r="L121" s="14"/>
    </row>
    <row r="122" customFormat="false" ht="15" hidden="false" customHeight="false" outlineLevel="0" collapsed="false">
      <c r="A122" s="5" t="n">
        <v>117</v>
      </c>
      <c r="B122" s="5" t="s">
        <v>189</v>
      </c>
      <c r="C122" s="6" t="s">
        <v>190</v>
      </c>
      <c r="D122" s="6" t="s">
        <v>193</v>
      </c>
      <c r="E122" s="6"/>
      <c r="F122" s="5" t="n">
        <v>10</v>
      </c>
      <c r="G122" s="5" t="s">
        <v>19</v>
      </c>
      <c r="H122" s="7" t="n">
        <v>3.5</v>
      </c>
      <c r="I122" s="8" t="n">
        <v>2950</v>
      </c>
      <c r="J122" s="7" t="n">
        <f aca="false">IF(AND(ISNUMBER(F122),ISNUMBER(H122)),F122*H122,"")</f>
        <v>35</v>
      </c>
      <c r="K122" s="8" t="n">
        <f aca="false">IF(AND(ISNUMBER(F122),ISNUMBER(I122)),F122*I122,"")</f>
        <v>29500</v>
      </c>
      <c r="L122" s="9"/>
    </row>
    <row r="123" customFormat="false" ht="15" hidden="false" customHeight="false" outlineLevel="0" collapsed="false">
      <c r="A123" s="10" t="n">
        <v>118</v>
      </c>
      <c r="B123" s="10" t="s">
        <v>189</v>
      </c>
      <c r="C123" s="11" t="s">
        <v>190</v>
      </c>
      <c r="D123" s="11" t="s">
        <v>194</v>
      </c>
      <c r="E123" s="11" t="s">
        <v>195</v>
      </c>
      <c r="F123" s="10" t="n">
        <v>1</v>
      </c>
      <c r="G123" s="10" t="s">
        <v>44</v>
      </c>
      <c r="H123" s="12" t="n">
        <v>10</v>
      </c>
      <c r="I123" s="13"/>
      <c r="J123" s="12" t="n">
        <f aca="false">IF(AND(ISNUMBER(F123),ISNUMBER(H123)),F123*H123,"")</f>
        <v>10</v>
      </c>
      <c r="K123" s="13" t="str">
        <f aca="false">IF(AND(ISNUMBER(F123),ISNUMBER(I123)),F123*I123,"")</f>
        <v/>
      </c>
      <c r="L123" s="14" t="s">
        <v>41</v>
      </c>
    </row>
    <row r="124" customFormat="false" ht="15" hidden="false" customHeight="false" outlineLevel="0" collapsed="false">
      <c r="A124" s="5" t="n">
        <v>119</v>
      </c>
      <c r="B124" s="5" t="s">
        <v>189</v>
      </c>
      <c r="C124" s="6" t="s">
        <v>190</v>
      </c>
      <c r="D124" s="6" t="s">
        <v>196</v>
      </c>
      <c r="E124" s="6" t="s">
        <v>197</v>
      </c>
      <c r="F124" s="5" t="n">
        <v>5</v>
      </c>
      <c r="G124" s="5" t="s">
        <v>19</v>
      </c>
      <c r="H124" s="7"/>
      <c r="I124" s="8" t="n">
        <v>8500</v>
      </c>
      <c r="J124" s="7" t="str">
        <f aca="false">IF(AND(ISNUMBER(F124),ISNUMBER(H124)),F124*H124,"")</f>
        <v/>
      </c>
      <c r="K124" s="8" t="n">
        <f aca="false">IF(AND(ISNUMBER(F124),ISNUMBER(I124)),F124*I124,"")</f>
        <v>42500</v>
      </c>
      <c r="L124" s="9" t="s">
        <v>22</v>
      </c>
    </row>
    <row r="125" customFormat="false" ht="15" hidden="false" customHeight="false" outlineLevel="0" collapsed="false">
      <c r="A125" s="10" t="n">
        <v>120</v>
      </c>
      <c r="B125" s="10" t="s">
        <v>189</v>
      </c>
      <c r="C125" s="11" t="s">
        <v>190</v>
      </c>
      <c r="D125" s="11" t="s">
        <v>198</v>
      </c>
      <c r="E125" s="11"/>
      <c r="F125" s="10" t="n">
        <v>5</v>
      </c>
      <c r="G125" s="10" t="s">
        <v>19</v>
      </c>
      <c r="H125" s="12" t="n">
        <v>3.5</v>
      </c>
      <c r="I125" s="13" t="n">
        <v>3780</v>
      </c>
      <c r="J125" s="12" t="n">
        <f aca="false">IF(AND(ISNUMBER(F125),ISNUMBER(H125)),F125*H125,"")</f>
        <v>17.5</v>
      </c>
      <c r="K125" s="13" t="n">
        <f aca="false">IF(AND(ISNUMBER(F125),ISNUMBER(I125)),F125*I125,"")</f>
        <v>18900</v>
      </c>
      <c r="L125" s="14" t="s">
        <v>199</v>
      </c>
    </row>
    <row r="126" customFormat="false" ht="15" hidden="false" customHeight="false" outlineLevel="0" collapsed="false">
      <c r="A126" s="5" t="n">
        <v>121</v>
      </c>
      <c r="B126" s="5" t="s">
        <v>189</v>
      </c>
      <c r="C126" s="6" t="s">
        <v>190</v>
      </c>
      <c r="D126" s="6" t="s">
        <v>200</v>
      </c>
      <c r="E126" s="6"/>
      <c r="F126" s="5" t="n">
        <v>10</v>
      </c>
      <c r="G126" s="5" t="s">
        <v>19</v>
      </c>
      <c r="H126" s="7" t="n">
        <v>4.8</v>
      </c>
      <c r="I126" s="8" t="n">
        <v>4000</v>
      </c>
      <c r="J126" s="7" t="n">
        <f aca="false">IF(AND(ISNUMBER(F126),ISNUMBER(H126)),F126*H126,"")</f>
        <v>48</v>
      </c>
      <c r="K126" s="8" t="n">
        <f aca="false">IF(AND(ISNUMBER(F126),ISNUMBER(I126)),F126*I126,"")</f>
        <v>40000</v>
      </c>
      <c r="L126" s="9"/>
    </row>
    <row r="127" customFormat="false" ht="15" hidden="false" customHeight="false" outlineLevel="0" collapsed="false">
      <c r="A127" s="10" t="n">
        <v>122</v>
      </c>
      <c r="B127" s="10" t="s">
        <v>189</v>
      </c>
      <c r="C127" s="11" t="s">
        <v>190</v>
      </c>
      <c r="D127" s="11" t="s">
        <v>201</v>
      </c>
      <c r="E127" s="11"/>
      <c r="F127" s="10" t="n">
        <v>40</v>
      </c>
      <c r="G127" s="10" t="s">
        <v>19</v>
      </c>
      <c r="H127" s="12"/>
      <c r="I127" s="13"/>
      <c r="J127" s="12" t="str">
        <f aca="false">IF(AND(ISNUMBER(F127),ISNUMBER(H127)),F127*H127,"")</f>
        <v/>
      </c>
      <c r="K127" s="13" t="str">
        <f aca="false">IF(AND(ISNUMBER(F127),ISNUMBER(I127)),F127*I127,"")</f>
        <v/>
      </c>
      <c r="L127" s="14" t="s">
        <v>37</v>
      </c>
    </row>
    <row r="128" customFormat="false" ht="15" hidden="false" customHeight="false" outlineLevel="0" collapsed="false">
      <c r="A128" s="5" t="n">
        <v>123</v>
      </c>
      <c r="B128" s="5" t="s">
        <v>189</v>
      </c>
      <c r="C128" s="6" t="s">
        <v>190</v>
      </c>
      <c r="D128" s="6" t="s">
        <v>202</v>
      </c>
      <c r="E128" s="6"/>
      <c r="F128" s="5" t="n">
        <v>1</v>
      </c>
      <c r="G128" s="5" t="s">
        <v>44</v>
      </c>
      <c r="H128" s="7"/>
      <c r="I128" s="8"/>
      <c r="J128" s="7" t="str">
        <f aca="false">IF(AND(ISNUMBER(F128),ISNUMBER(H128)),F128*H128,"")</f>
        <v/>
      </c>
      <c r="K128" s="8" t="str">
        <f aca="false">IF(AND(ISNUMBER(F128),ISNUMBER(I128)),F128*I128,"")</f>
        <v/>
      </c>
      <c r="L128" s="9" t="s">
        <v>37</v>
      </c>
    </row>
    <row r="129" customFormat="false" ht="15" hidden="false" customHeight="false" outlineLevel="0" collapsed="false">
      <c r="A129" s="10" t="n">
        <v>124</v>
      </c>
      <c r="B129" s="10" t="s">
        <v>189</v>
      </c>
      <c r="C129" s="11" t="s">
        <v>190</v>
      </c>
      <c r="D129" s="11" t="s">
        <v>203</v>
      </c>
      <c r="E129" s="11" t="s">
        <v>204</v>
      </c>
      <c r="F129" s="10" t="n">
        <v>6</v>
      </c>
      <c r="G129" s="10" t="s">
        <v>19</v>
      </c>
      <c r="H129" s="12" t="n">
        <v>14</v>
      </c>
      <c r="I129" s="13" t="n">
        <v>9450</v>
      </c>
      <c r="J129" s="12" t="n">
        <f aca="false">IF(AND(ISNUMBER(F129),ISNUMBER(H129)),F129*H129,"")</f>
        <v>84</v>
      </c>
      <c r="K129" s="13" t="n">
        <f aca="false">IF(AND(ISNUMBER(F129),ISNUMBER(I129)),F129*I129,"")</f>
        <v>56700</v>
      </c>
      <c r="L129" s="14"/>
    </row>
    <row r="130" customFormat="false" ht="15" hidden="false" customHeight="false" outlineLevel="0" collapsed="false">
      <c r="A130" s="5" t="n">
        <v>125</v>
      </c>
      <c r="B130" s="5" t="s">
        <v>189</v>
      </c>
      <c r="C130" s="6" t="s">
        <v>190</v>
      </c>
      <c r="D130" s="6" t="s">
        <v>205</v>
      </c>
      <c r="E130" s="6"/>
      <c r="F130" s="5" t="n">
        <v>45</v>
      </c>
      <c r="G130" s="5" t="s">
        <v>19</v>
      </c>
      <c r="H130" s="7"/>
      <c r="I130" s="8"/>
      <c r="J130" s="7" t="str">
        <f aca="false">IF(AND(ISNUMBER(F130),ISNUMBER(H130)),F130*H130,"")</f>
        <v/>
      </c>
      <c r="K130" s="8" t="str">
        <f aca="false">IF(AND(ISNUMBER(F130),ISNUMBER(I130)),F130*I130,"")</f>
        <v/>
      </c>
      <c r="L130" s="9" t="s">
        <v>37</v>
      </c>
    </row>
    <row r="131" customFormat="false" ht="15" hidden="false" customHeight="false" outlineLevel="0" collapsed="false">
      <c r="A131" s="10" t="n">
        <v>126</v>
      </c>
      <c r="B131" s="10" t="s">
        <v>189</v>
      </c>
      <c r="C131" s="11" t="s">
        <v>190</v>
      </c>
      <c r="D131" s="11" t="s">
        <v>206</v>
      </c>
      <c r="E131" s="11" t="s">
        <v>207</v>
      </c>
      <c r="F131" s="10" t="n">
        <v>7</v>
      </c>
      <c r="G131" s="10" t="s">
        <v>19</v>
      </c>
      <c r="H131" s="12" t="n">
        <v>1.5</v>
      </c>
      <c r="I131" s="13"/>
      <c r="J131" s="12" t="n">
        <f aca="false">IF(AND(ISNUMBER(F131),ISNUMBER(H131)),F131*H131,"")</f>
        <v>10.5</v>
      </c>
      <c r="K131" s="13" t="str">
        <f aca="false">IF(AND(ISNUMBER(F131),ISNUMBER(I131)),F131*I131,"")</f>
        <v/>
      </c>
      <c r="L131" s="14" t="s">
        <v>41</v>
      </c>
    </row>
    <row r="132" customFormat="false" ht="15" hidden="false" customHeight="false" outlineLevel="0" collapsed="false">
      <c r="A132" s="5" t="n">
        <v>127</v>
      </c>
      <c r="B132" s="5" t="s">
        <v>189</v>
      </c>
      <c r="C132" s="6" t="s">
        <v>190</v>
      </c>
      <c r="D132" s="6" t="s">
        <v>206</v>
      </c>
      <c r="E132" s="6" t="s">
        <v>208</v>
      </c>
      <c r="F132" s="5" t="n">
        <v>6</v>
      </c>
      <c r="G132" s="5" t="s">
        <v>19</v>
      </c>
      <c r="H132" s="7"/>
      <c r="I132" s="8"/>
      <c r="J132" s="7" t="str">
        <f aca="false">IF(AND(ISNUMBER(F132),ISNUMBER(H132)),F132*H132,"")</f>
        <v/>
      </c>
      <c r="K132" s="8" t="str">
        <f aca="false">IF(AND(ISNUMBER(F132),ISNUMBER(I132)),F132*I132,"")</f>
        <v/>
      </c>
      <c r="L132" s="9" t="s">
        <v>37</v>
      </c>
    </row>
    <row r="133" customFormat="false" ht="15" hidden="false" customHeight="false" outlineLevel="0" collapsed="false">
      <c r="A133" s="10" t="n">
        <v>128</v>
      </c>
      <c r="B133" s="10" t="s">
        <v>189</v>
      </c>
      <c r="C133" s="11" t="s">
        <v>190</v>
      </c>
      <c r="D133" s="11" t="s">
        <v>209</v>
      </c>
      <c r="E133" s="11"/>
      <c r="F133" s="10" t="n">
        <v>18</v>
      </c>
      <c r="G133" s="10" t="s">
        <v>19</v>
      </c>
      <c r="H133" s="12" t="n">
        <v>0.5</v>
      </c>
      <c r="I133" s="13" t="n">
        <v>350</v>
      </c>
      <c r="J133" s="12" t="n">
        <f aca="false">IF(AND(ISNUMBER(F133),ISNUMBER(H133)),F133*H133,"")</f>
        <v>9</v>
      </c>
      <c r="K133" s="13" t="n">
        <f aca="false">IF(AND(ISNUMBER(F133),ISNUMBER(I133)),F133*I133,"")</f>
        <v>6300</v>
      </c>
      <c r="L133" s="14"/>
    </row>
    <row r="134" customFormat="false" ht="15" hidden="false" customHeight="false" outlineLevel="0" collapsed="false">
      <c r="A134" s="5" t="n">
        <v>129</v>
      </c>
      <c r="B134" s="5" t="s">
        <v>189</v>
      </c>
      <c r="C134" s="6" t="s">
        <v>190</v>
      </c>
      <c r="D134" s="6" t="s">
        <v>210</v>
      </c>
      <c r="E134" s="6" t="s">
        <v>211</v>
      </c>
      <c r="F134" s="5" t="n">
        <v>24</v>
      </c>
      <c r="G134" s="5" t="s">
        <v>19</v>
      </c>
      <c r="H134" s="7"/>
      <c r="I134" s="8"/>
      <c r="J134" s="7" t="str">
        <f aca="false">IF(AND(ISNUMBER(F134),ISNUMBER(H134)),F134*H134,"")</f>
        <v/>
      </c>
      <c r="K134" s="8" t="str">
        <f aca="false">IF(AND(ISNUMBER(F134),ISNUMBER(I134)),F134*I134,"")</f>
        <v/>
      </c>
      <c r="L134" s="9" t="s">
        <v>37</v>
      </c>
    </row>
    <row r="135" customFormat="false" ht="15" hidden="false" customHeight="false" outlineLevel="0" collapsed="false">
      <c r="A135" s="10" t="n">
        <v>130</v>
      </c>
      <c r="B135" s="10" t="s">
        <v>189</v>
      </c>
      <c r="C135" s="11" t="s">
        <v>190</v>
      </c>
      <c r="D135" s="11" t="s">
        <v>212</v>
      </c>
      <c r="E135" s="11"/>
      <c r="F135" s="10" t="n">
        <v>10</v>
      </c>
      <c r="G135" s="10" t="s">
        <v>19</v>
      </c>
      <c r="H135" s="12" t="n">
        <v>0.5</v>
      </c>
      <c r="I135" s="13" t="n">
        <v>750</v>
      </c>
      <c r="J135" s="12" t="n">
        <f aca="false">IF(AND(ISNUMBER(F135),ISNUMBER(H135)),F135*H135,"")</f>
        <v>5</v>
      </c>
      <c r="K135" s="13" t="n">
        <f aca="false">IF(AND(ISNUMBER(F135),ISNUMBER(I135)),F135*I135,"")</f>
        <v>7500</v>
      </c>
      <c r="L135" s="14"/>
    </row>
    <row r="136" customFormat="false" ht="15" hidden="false" customHeight="false" outlineLevel="0" collapsed="false">
      <c r="A136" s="5" t="n">
        <v>131</v>
      </c>
      <c r="B136" s="5" t="s">
        <v>189</v>
      </c>
      <c r="C136" s="6" t="s">
        <v>190</v>
      </c>
      <c r="D136" s="6" t="s">
        <v>213</v>
      </c>
      <c r="E136" s="6"/>
      <c r="F136" s="5" t="n">
        <v>5</v>
      </c>
      <c r="G136" s="5" t="s">
        <v>19</v>
      </c>
      <c r="H136" s="7" t="n">
        <v>75</v>
      </c>
      <c r="I136" s="8" t="n">
        <v>9750</v>
      </c>
      <c r="J136" s="7" t="n">
        <f aca="false">IF(AND(ISNUMBER(F136),ISNUMBER(H136)),F136*H136,"")</f>
        <v>375</v>
      </c>
      <c r="K136" s="8" t="n">
        <f aca="false">IF(AND(ISNUMBER(F136),ISNUMBER(I136)),F136*I136,"")</f>
        <v>48750</v>
      </c>
      <c r="L136" s="9"/>
    </row>
    <row r="137" customFormat="false" ht="15" hidden="false" customHeight="false" outlineLevel="0" collapsed="false">
      <c r="A137" s="10" t="n">
        <v>132</v>
      </c>
      <c r="B137" s="10" t="s">
        <v>189</v>
      </c>
      <c r="C137" s="11" t="s">
        <v>190</v>
      </c>
      <c r="D137" s="11" t="s">
        <v>214</v>
      </c>
      <c r="E137" s="11"/>
      <c r="F137" s="10" t="n">
        <v>4</v>
      </c>
      <c r="G137" s="10" t="s">
        <v>19</v>
      </c>
      <c r="H137" s="12"/>
      <c r="I137" s="13"/>
      <c r="J137" s="12" t="str">
        <f aca="false">IF(AND(ISNUMBER(F137),ISNUMBER(H137)),F137*H137,"")</f>
        <v/>
      </c>
      <c r="K137" s="13" t="str">
        <f aca="false">IF(AND(ISNUMBER(F137),ISNUMBER(I137)),F137*I137,"")</f>
        <v/>
      </c>
      <c r="L137" s="14" t="s">
        <v>37</v>
      </c>
    </row>
    <row r="138" customFormat="false" ht="15" hidden="false" customHeight="false" outlineLevel="0" collapsed="false">
      <c r="A138" s="5" t="n">
        <v>133</v>
      </c>
      <c r="B138" s="5" t="s">
        <v>189</v>
      </c>
      <c r="C138" s="6" t="s">
        <v>190</v>
      </c>
      <c r="D138" s="6" t="s">
        <v>215</v>
      </c>
      <c r="E138" s="6"/>
      <c r="F138" s="5" t="n">
        <v>10</v>
      </c>
      <c r="G138" s="5" t="s">
        <v>19</v>
      </c>
      <c r="H138" s="7" t="n">
        <v>8</v>
      </c>
      <c r="I138" s="8" t="n">
        <v>5750</v>
      </c>
      <c r="J138" s="7" t="n">
        <f aca="false">IF(AND(ISNUMBER(F138),ISNUMBER(H138)),F138*H138,"")</f>
        <v>80</v>
      </c>
      <c r="K138" s="8" t="n">
        <f aca="false">IF(AND(ISNUMBER(F138),ISNUMBER(I138)),F138*I138,"")</f>
        <v>57500</v>
      </c>
      <c r="L138" s="9"/>
    </row>
    <row r="139" customFormat="false" ht="15" hidden="false" customHeight="false" outlineLevel="0" collapsed="false">
      <c r="A139" s="10" t="n">
        <v>134</v>
      </c>
      <c r="B139" s="10" t="s">
        <v>189</v>
      </c>
      <c r="C139" s="11" t="s">
        <v>190</v>
      </c>
      <c r="D139" s="11" t="s">
        <v>216</v>
      </c>
      <c r="E139" s="11"/>
      <c r="F139" s="10" t="n">
        <v>10</v>
      </c>
      <c r="G139" s="10" t="s">
        <v>19</v>
      </c>
      <c r="H139" s="12" t="n">
        <v>8</v>
      </c>
      <c r="I139" s="13" t="n">
        <v>5750</v>
      </c>
      <c r="J139" s="12" t="n">
        <f aca="false">IF(AND(ISNUMBER(F139),ISNUMBER(H139)),F139*H139,"")</f>
        <v>80</v>
      </c>
      <c r="K139" s="13" t="n">
        <f aca="false">IF(AND(ISNUMBER(F139),ISNUMBER(I139)),F139*I139,"")</f>
        <v>57500</v>
      </c>
      <c r="L139" s="14"/>
    </row>
    <row r="140" customFormat="false" ht="15" hidden="false" customHeight="false" outlineLevel="0" collapsed="false">
      <c r="A140" s="15" t="s">
        <v>217</v>
      </c>
      <c r="B140" s="15"/>
      <c r="C140" s="15"/>
      <c r="D140" s="15"/>
      <c r="E140" s="15"/>
      <c r="F140" s="16" t="n">
        <f aca="false">SUM(F6:F139)</f>
        <v>6329</v>
      </c>
      <c r="G140" s="17"/>
      <c r="H140" s="17"/>
      <c r="I140" s="17"/>
      <c r="J140" s="18" t="n">
        <f aca="false">SUM(J6:J139)</f>
        <v>22951.4</v>
      </c>
      <c r="K140" s="19" t="n">
        <f aca="false">SUM(K6:K139)</f>
        <v>6404825</v>
      </c>
      <c r="L140" s="17"/>
    </row>
    <row r="142" customFormat="false" ht="15" hidden="false" customHeight="false" outlineLevel="0" collapsed="false">
      <c r="A142" s="20" t="s">
        <v>218</v>
      </c>
    </row>
  </sheetData>
  <autoFilter ref="A5:L139"/>
  <mergeCells count="1">
    <mergeCell ref="A140:E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21" t="s">
        <v>219</v>
      </c>
    </row>
    <row r="2" customFormat="false" ht="15" hidden="false" customHeight="false" outlineLevel="0" collapsed="false">
      <c r="A2" s="20" t="s">
        <v>220</v>
      </c>
    </row>
    <row r="4" customFormat="false" ht="30" hidden="false" customHeight="true" outlineLevel="0" collapsed="false">
      <c r="A4" s="4" t="s">
        <v>221</v>
      </c>
      <c r="B4" s="4" t="s">
        <v>5</v>
      </c>
      <c r="C4" s="4" t="s">
        <v>222</v>
      </c>
      <c r="D4" s="4" t="s">
        <v>223</v>
      </c>
      <c r="E4" s="4" t="s">
        <v>12</v>
      </c>
      <c r="F4" s="4" t="s">
        <v>13</v>
      </c>
    </row>
    <row r="5" customFormat="false" ht="15" hidden="false" customHeight="false" outlineLevel="0" collapsed="false">
      <c r="A5" s="22" t="s">
        <v>15</v>
      </c>
      <c r="B5" s="23" t="s">
        <v>16</v>
      </c>
      <c r="C5" s="22" t="n">
        <f aca="false">COUNTIFS('Parts Inventory'!$B$6:$B$139,$A5)</f>
        <v>27</v>
      </c>
      <c r="D5" s="24" t="n">
        <f aca="false">SUMIFS('Parts Inventory'!$F$6:$F$139,'Parts Inventory'!$B$6:$B$139,$A5)</f>
        <v>114</v>
      </c>
      <c r="E5" s="25" t="n">
        <f aca="false">SUMIFS('Parts Inventory'!$J$6:$J$139,'Parts Inventory'!$B$6:$B$139,$A5)</f>
        <v>3338</v>
      </c>
      <c r="F5" s="26" t="n">
        <f aca="false">SUMIFS('Parts Inventory'!$K$6:$K$139,'Parts Inventory'!$B$6:$B$139,$A5)</f>
        <v>1772120</v>
      </c>
    </row>
    <row r="6" customFormat="false" ht="15" hidden="false" customHeight="false" outlineLevel="0" collapsed="false">
      <c r="A6" s="22" t="s">
        <v>57</v>
      </c>
      <c r="B6" s="23" t="s">
        <v>58</v>
      </c>
      <c r="C6" s="22" t="n">
        <f aca="false">COUNTIFS('Parts Inventory'!$B$6:$B$139,$A6)</f>
        <v>17</v>
      </c>
      <c r="D6" s="24" t="n">
        <f aca="false">SUMIFS('Parts Inventory'!$F$6:$F$139,'Parts Inventory'!$B$6:$B$139,$A6)</f>
        <v>155</v>
      </c>
      <c r="E6" s="25" t="n">
        <f aca="false">SUMIFS('Parts Inventory'!$J$6:$J$139,'Parts Inventory'!$B$6:$B$139,$A6)</f>
        <v>1540.1</v>
      </c>
      <c r="F6" s="26" t="n">
        <f aca="false">SUMIFS('Parts Inventory'!$K$6:$K$139,'Parts Inventory'!$B$6:$B$139,$A6)</f>
        <v>1038245</v>
      </c>
    </row>
    <row r="7" customFormat="false" ht="15" hidden="false" customHeight="false" outlineLevel="0" collapsed="false">
      <c r="A7" s="22" t="s">
        <v>83</v>
      </c>
      <c r="B7" s="23" t="s">
        <v>84</v>
      </c>
      <c r="C7" s="22" t="n">
        <f aca="false">COUNTIFS('Parts Inventory'!$B$6:$B$139,$A7)</f>
        <v>25</v>
      </c>
      <c r="D7" s="24" t="n">
        <f aca="false">SUMIFS('Parts Inventory'!$F$6:$F$139,'Parts Inventory'!$B$6:$B$139,$A7)</f>
        <v>4834</v>
      </c>
      <c r="E7" s="25" t="n">
        <f aca="false">SUMIFS('Parts Inventory'!$J$6:$J$139,'Parts Inventory'!$B$6:$B$139,$A7)</f>
        <v>13281.6</v>
      </c>
      <c r="F7" s="26" t="n">
        <f aca="false">SUMIFS('Parts Inventory'!$K$6:$K$139,'Parts Inventory'!$B$6:$B$139,$A7)</f>
        <v>762010</v>
      </c>
    </row>
    <row r="8" customFormat="false" ht="15" hidden="false" customHeight="false" outlineLevel="0" collapsed="false">
      <c r="A8" s="22" t="s">
        <v>118</v>
      </c>
      <c r="B8" s="23" t="s">
        <v>119</v>
      </c>
      <c r="C8" s="22" t="n">
        <f aca="false">COUNTIFS('Parts Inventory'!$B$6:$B$139,$A8)</f>
        <v>18</v>
      </c>
      <c r="D8" s="24" t="n">
        <f aca="false">SUMIFS('Parts Inventory'!$F$6:$F$139,'Parts Inventory'!$B$6:$B$139,$A8)</f>
        <v>83</v>
      </c>
      <c r="E8" s="25" t="n">
        <f aca="false">SUMIFS('Parts Inventory'!$J$6:$J$139,'Parts Inventory'!$B$6:$B$139,$A8)</f>
        <v>2083.5</v>
      </c>
      <c r="F8" s="26" t="n">
        <f aca="false">SUMIFS('Parts Inventory'!$K$6:$K$139,'Parts Inventory'!$B$6:$B$139,$A8)</f>
        <v>824000</v>
      </c>
    </row>
    <row r="9" customFormat="false" ht="15" hidden="false" customHeight="false" outlineLevel="0" collapsed="false">
      <c r="A9" s="22" t="s">
        <v>145</v>
      </c>
      <c r="B9" s="23" t="s">
        <v>146</v>
      </c>
      <c r="C9" s="22" t="n">
        <f aca="false">COUNTIFS('Parts Inventory'!$B$6:$B$139,$A9)</f>
        <v>28</v>
      </c>
      <c r="D9" s="24" t="n">
        <f aca="false">SUMIFS('Parts Inventory'!$F$6:$F$139,'Parts Inventory'!$B$6:$B$139,$A9)</f>
        <v>920</v>
      </c>
      <c r="E9" s="25" t="n">
        <f aca="false">SUMIFS('Parts Inventory'!$J$6:$J$139,'Parts Inventory'!$B$6:$B$139,$A9)</f>
        <v>1947</v>
      </c>
      <c r="F9" s="26" t="n">
        <f aca="false">SUMIFS('Parts Inventory'!$K$6:$K$139,'Parts Inventory'!$B$6:$B$139,$A9)</f>
        <v>1632800</v>
      </c>
    </row>
    <row r="10" customFormat="false" ht="15" hidden="false" customHeight="false" outlineLevel="0" collapsed="false">
      <c r="A10" s="22" t="s">
        <v>189</v>
      </c>
      <c r="B10" s="23" t="s">
        <v>190</v>
      </c>
      <c r="C10" s="22" t="n">
        <f aca="false">COUNTIFS('Parts Inventory'!$B$6:$B$139,$A10)</f>
        <v>19</v>
      </c>
      <c r="D10" s="24" t="n">
        <f aca="false">SUMIFS('Parts Inventory'!$F$6:$F$139,'Parts Inventory'!$B$6:$B$139,$A10)</f>
        <v>223</v>
      </c>
      <c r="E10" s="25" t="n">
        <f aca="false">SUMIFS('Parts Inventory'!$J$6:$J$139,'Parts Inventory'!$B$6:$B$139,$A10)</f>
        <v>761.2</v>
      </c>
      <c r="F10" s="26" t="n">
        <f aca="false">SUMIFS('Parts Inventory'!$K$6:$K$139,'Parts Inventory'!$B$6:$B$139,$A10)</f>
        <v>375650</v>
      </c>
    </row>
    <row r="11" customFormat="false" ht="15" hidden="false" customHeight="false" outlineLevel="0" collapsed="false">
      <c r="A11" s="27" t="s">
        <v>217</v>
      </c>
      <c r="B11" s="27"/>
      <c r="C11" s="16" t="n">
        <f aca="false">SUM(C5:C10)</f>
        <v>134</v>
      </c>
      <c r="D11" s="28" t="n">
        <f aca="false">SUM(D5:D10)</f>
        <v>6329</v>
      </c>
      <c r="E11" s="18" t="n">
        <f aca="false">SUM(E5:E10)</f>
        <v>22951.4</v>
      </c>
      <c r="F11" s="19" t="n">
        <f aca="false">SUM(F5:F10)</f>
        <v>6404825</v>
      </c>
    </row>
  </sheetData>
  <mergeCells count="1"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21" t="s">
        <v>224</v>
      </c>
    </row>
    <row r="2" customFormat="false" ht="15" hidden="false" customHeight="false" outlineLevel="0" collapsed="false">
      <c r="A2" s="20" t="s">
        <v>225</v>
      </c>
    </row>
    <row r="4" customFormat="false" ht="30" hidden="false" customHeight="true" outlineLevel="0" collapsed="false">
      <c r="A4" s="29" t="s">
        <v>4</v>
      </c>
      <c r="B4" s="29" t="s">
        <v>6</v>
      </c>
      <c r="C4" s="29" t="s">
        <v>7</v>
      </c>
      <c r="D4" s="29" t="s">
        <v>8</v>
      </c>
      <c r="E4" s="29" t="s">
        <v>9</v>
      </c>
      <c r="F4" s="29" t="s">
        <v>10</v>
      </c>
      <c r="G4" s="29" t="s">
        <v>11</v>
      </c>
      <c r="H4" s="29" t="s">
        <v>14</v>
      </c>
    </row>
    <row r="5" customFormat="false" ht="15" hidden="false" customHeight="false" outlineLevel="0" collapsed="false">
      <c r="A5" s="30" t="s">
        <v>118</v>
      </c>
      <c r="B5" s="30" t="s">
        <v>120</v>
      </c>
      <c r="C5" s="30" t="s">
        <v>226</v>
      </c>
      <c r="D5" s="30"/>
      <c r="E5" s="30" t="s">
        <v>19</v>
      </c>
      <c r="F5" s="31" t="n">
        <v>30</v>
      </c>
      <c r="G5" s="32" t="n">
        <v>14750</v>
      </c>
      <c r="H5" s="33" t="s">
        <v>227</v>
      </c>
    </row>
    <row r="6" customFormat="false" ht="15" hidden="false" customHeight="false" outlineLevel="0" collapsed="false">
      <c r="A6" s="30" t="s">
        <v>145</v>
      </c>
      <c r="B6" s="30" t="s">
        <v>228</v>
      </c>
      <c r="C6" s="30"/>
      <c r="D6" s="30" t="n">
        <v>100</v>
      </c>
      <c r="E6" s="30" t="s">
        <v>19</v>
      </c>
      <c r="F6" s="31" t="n">
        <v>3.5</v>
      </c>
      <c r="G6" s="32" t="n">
        <v>2350</v>
      </c>
      <c r="H6" s="33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21" t="s">
        <v>230</v>
      </c>
    </row>
    <row r="3" customFormat="false" ht="30" hidden="false" customHeight="true" outlineLevel="0" collapsed="false">
      <c r="A3" s="34" t="s">
        <v>231</v>
      </c>
      <c r="B3" s="35" t="s">
        <v>232</v>
      </c>
    </row>
    <row r="4" customFormat="false" ht="42" hidden="false" customHeight="true" outlineLevel="0" collapsed="false">
      <c r="A4" s="34" t="s">
        <v>233</v>
      </c>
      <c r="B4" s="35" t="s">
        <v>234</v>
      </c>
    </row>
    <row r="5" customFormat="false" ht="42" hidden="false" customHeight="true" outlineLevel="0" collapsed="false">
      <c r="A5" s="34" t="s">
        <v>235</v>
      </c>
      <c r="B5" s="35" t="s">
        <v>236</v>
      </c>
    </row>
    <row r="6" customFormat="false" ht="30" hidden="false" customHeight="true" outlineLevel="0" collapsed="false">
      <c r="A6" s="34" t="s">
        <v>237</v>
      </c>
      <c r="B6" s="35" t="s">
        <v>238</v>
      </c>
    </row>
    <row r="7" customFormat="false" ht="30" hidden="false" customHeight="true" outlineLevel="0" collapsed="false">
      <c r="A7" s="34" t="s">
        <v>239</v>
      </c>
      <c r="B7" s="35" t="s">
        <v>240</v>
      </c>
    </row>
    <row r="8" customFormat="false" ht="30" hidden="false" customHeight="true" outlineLevel="0" collapsed="false">
      <c r="A8" s="34" t="s">
        <v>241</v>
      </c>
      <c r="B8" s="35" t="s">
        <v>242</v>
      </c>
    </row>
    <row r="9" customFormat="false" ht="15" hidden="false" customHeight="false" outlineLevel="0" collapsed="false">
      <c r="A9" s="35"/>
      <c r="B9" s="35"/>
    </row>
    <row r="10" customFormat="false" ht="30" hidden="false" customHeight="true" outlineLevel="0" collapsed="false">
      <c r="A10" s="34" t="s">
        <v>243</v>
      </c>
      <c r="B10" s="35" t="s">
        <v>244</v>
      </c>
    </row>
    <row r="11" customFormat="false" ht="30" hidden="false" customHeight="true" outlineLevel="0" collapsed="false">
      <c r="A11" s="34" t="s">
        <v>245</v>
      </c>
      <c r="B11" s="35" t="s">
        <v>246</v>
      </c>
    </row>
    <row r="12" customFormat="false" ht="30" hidden="false" customHeight="true" outlineLevel="0" collapsed="false">
      <c r="A12" s="34" t="s">
        <v>247</v>
      </c>
      <c r="B12" s="35" t="s">
        <v>248</v>
      </c>
    </row>
    <row r="13" customFormat="false" ht="30" hidden="false" customHeight="true" outlineLevel="0" collapsed="false">
      <c r="A13" s="34" t="s">
        <v>249</v>
      </c>
      <c r="B13" s="35" t="s">
        <v>250</v>
      </c>
    </row>
    <row r="14" customFormat="false" ht="30" hidden="false" customHeight="true" outlineLevel="0" collapsed="false">
      <c r="A14" s="34" t="s">
        <v>251</v>
      </c>
      <c r="B14" s="35" t="s">
        <v>252</v>
      </c>
    </row>
    <row r="15" customFormat="false" ht="30" hidden="false" customHeight="true" outlineLevel="0" collapsed="false">
      <c r="A15" s="34" t="s">
        <v>253</v>
      </c>
      <c r="B15" s="35" t="s">
        <v>254</v>
      </c>
    </row>
    <row r="16" customFormat="false" ht="30" hidden="false" customHeight="true" outlineLevel="0" collapsed="false">
      <c r="A16" s="34" t="s">
        <v>255</v>
      </c>
      <c r="B16" s="35" t="s">
        <v>256</v>
      </c>
    </row>
    <row r="17" customFormat="false" ht="30" hidden="false" customHeight="true" outlineLevel="0" collapsed="false">
      <c r="A17" s="34" t="s">
        <v>257</v>
      </c>
      <c r="B17" s="35" t="s">
        <v>258</v>
      </c>
    </row>
    <row r="18" customFormat="false" ht="30" hidden="false" customHeight="true" outlineLevel="0" collapsed="false">
      <c r="A18" s="34" t="s">
        <v>259</v>
      </c>
      <c r="B18" s="35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2026-08-21T14:18:56Z</dcterms:created>
  <dc:creator>openpyxl</dc:creator>
  <dc:description/>
  <dc:language>en-US</dc:language>
  <cp:lastModifiedBy/>
  <dcterms:modified xsi:type="dcterms:W3CDTF">2026-08-21T14:18:56Z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